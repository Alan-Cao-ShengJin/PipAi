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NCA~1\AppData\Local\Temp\claude\c--Users-Alan-Cao-Desktop-Companies---\1eb5834d-45dc-4548-8b16-9f6b3c543527\scratchpad\"/>
    </mc:Choice>
  </mc:AlternateContent>
  <xr:revisionPtr revIDLastSave="0" documentId="13_ncr:1_{F4DB0820-5C68-4FC2-B9F2-E4254D84F8A0}" xr6:coauthVersionLast="47" xr6:coauthVersionMax="47" xr10:uidLastSave="{00000000-0000-0000-0000-000000000000}"/>
  <bookViews>
    <workbookView xWindow="-26900" yWindow="1900" windowWidth="21600" windowHeight="11320" tabRatio="806" xr2:uid="{00000000-000D-0000-FFFF-FFFF00000000}"/>
  </bookViews>
  <sheets>
    <sheet name="3S" sheetId="13" r:id="rId1"/>
    <sheet name="Revenue Projection" sheetId="24" r:id="rId2"/>
    <sheet name="Data" sheetId="19" r:id="rId3"/>
    <sheet name="Guidance" sheetId="20" r:id="rId4"/>
    <sheet name="问题" sheetId="12" r:id="rId5"/>
    <sheet name="投资逻辑" sheetId="21" r:id="rId6"/>
    <sheet name="估值区间" sheetId="23" r:id="rId7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45970.5495717593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9" l="1"/>
  <c r="O14" i="19"/>
  <c r="P8" i="19"/>
  <c r="O8" i="19"/>
  <c r="P6" i="19"/>
  <c r="O6" i="19"/>
  <c r="M16" i="19"/>
  <c r="L16" i="19"/>
  <c r="K16" i="19"/>
  <c r="J16" i="19"/>
  <c r="I16" i="19"/>
  <c r="H16" i="19"/>
  <c r="G16" i="19"/>
  <c r="E16" i="19"/>
  <c r="D16" i="19"/>
  <c r="C16" i="19"/>
  <c r="P15" i="19"/>
  <c r="M15" i="19"/>
  <c r="L15" i="19"/>
  <c r="K15" i="19"/>
  <c r="E15" i="19"/>
  <c r="D15" i="19"/>
  <c r="M11" i="19"/>
  <c r="L11" i="19"/>
  <c r="K11" i="19"/>
  <c r="J11" i="19"/>
  <c r="I11" i="19"/>
  <c r="H11" i="19"/>
  <c r="G11" i="19"/>
  <c r="E11" i="19"/>
  <c r="D11" i="19"/>
  <c r="C11" i="19"/>
  <c r="M10" i="19"/>
  <c r="L10" i="19"/>
  <c r="K10" i="19"/>
  <c r="J10" i="19"/>
  <c r="I10" i="19"/>
  <c r="H10" i="19"/>
  <c r="G10" i="19"/>
  <c r="E10" i="19"/>
  <c r="D10" i="19"/>
  <c r="C10" i="19"/>
  <c r="M9" i="19"/>
  <c r="L9" i="19"/>
  <c r="K9" i="19"/>
  <c r="E9" i="19"/>
  <c r="D9" i="19"/>
  <c r="M7" i="19"/>
  <c r="L7" i="19"/>
  <c r="K7" i="19"/>
  <c r="E7" i="19"/>
  <c r="D7" i="19"/>
  <c r="Q40" i="24"/>
  <c r="Q38" i="24"/>
  <c r="Q39" i="24" s="1"/>
  <c r="P40" i="24"/>
  <c r="P38" i="24"/>
  <c r="P39" i="24" s="1"/>
  <c r="O40" i="24"/>
  <c r="O38" i="24"/>
  <c r="O39" i="24" s="1"/>
  <c r="N40" i="24"/>
  <c r="N38" i="24"/>
  <c r="N39" i="24" s="1"/>
  <c r="M40" i="24"/>
  <c r="M38" i="24"/>
  <c r="M39" i="24" s="1"/>
  <c r="L40" i="24"/>
  <c r="L38" i="24"/>
  <c r="L39" i="24" s="1"/>
  <c r="K40" i="24"/>
  <c r="K38" i="24"/>
  <c r="K39" i="24" s="1"/>
  <c r="F40" i="24"/>
  <c r="F41" i="24" s="1"/>
  <c r="F38" i="24"/>
  <c r="F39" i="24" s="1"/>
  <c r="E40" i="24"/>
  <c r="E41" i="24" s="1"/>
  <c r="E38" i="24"/>
  <c r="E39" i="24" s="1"/>
  <c r="D40" i="24"/>
  <c r="D41" i="24" s="1"/>
  <c r="D38" i="24"/>
  <c r="D39" i="24" s="1"/>
  <c r="C40" i="24"/>
  <c r="C38" i="24"/>
  <c r="C39" i="24" s="1"/>
  <c r="C32" i="24"/>
  <c r="F31" i="24"/>
  <c r="E31" i="24"/>
  <c r="D31" i="24"/>
  <c r="C31" i="24"/>
  <c r="F30" i="24"/>
  <c r="E30" i="24"/>
  <c r="D30" i="24"/>
  <c r="C30" i="24"/>
  <c r="F29" i="24"/>
  <c r="E29" i="24"/>
  <c r="D29" i="24"/>
  <c r="C29" i="24"/>
  <c r="G25" i="24"/>
  <c r="H25" i="24" s="1"/>
  <c r="I25" i="24" s="1"/>
  <c r="G24" i="24"/>
  <c r="H24" i="24" s="1"/>
  <c r="I24" i="24" s="1"/>
  <c r="G23" i="24"/>
  <c r="H23" i="24" s="1"/>
  <c r="I23" i="24" s="1"/>
  <c r="G22" i="24"/>
  <c r="H22" i="24" s="1"/>
  <c r="I22" i="24" s="1"/>
  <c r="G17" i="24"/>
  <c r="F17" i="24"/>
  <c r="E17" i="24"/>
  <c r="D17" i="24"/>
  <c r="H16" i="24"/>
  <c r="F18" i="24"/>
  <c r="F19" i="24" s="1"/>
  <c r="E18" i="24"/>
  <c r="E19" i="24" s="1"/>
  <c r="D18" i="24"/>
  <c r="D19" i="24" s="1"/>
  <c r="C18" i="24"/>
  <c r="O13" i="24"/>
  <c r="F13" i="24"/>
  <c r="E13" i="24"/>
  <c r="D13" i="24"/>
  <c r="Q12" i="24"/>
  <c r="P12" i="24"/>
  <c r="O12" i="24"/>
  <c r="N12" i="24"/>
  <c r="M12" i="24"/>
  <c r="L12" i="24"/>
  <c r="K12" i="24"/>
  <c r="K10" i="24" s="1"/>
  <c r="F12" i="24"/>
  <c r="E12" i="24"/>
  <c r="D12" i="24"/>
  <c r="C12" i="24"/>
  <c r="O10" i="24"/>
  <c r="N10" i="24"/>
  <c r="R10" i="24" s="1"/>
  <c r="M10" i="24"/>
  <c r="L10" i="24"/>
  <c r="F10" i="24"/>
  <c r="F32" i="24" s="1"/>
  <c r="E10" i="24"/>
  <c r="D10" i="24"/>
  <c r="D32" i="24" s="1"/>
  <c r="Q9" i="24"/>
  <c r="P9" i="24"/>
  <c r="O9" i="24"/>
  <c r="F9" i="24"/>
  <c r="E9" i="24"/>
  <c r="D9" i="24"/>
  <c r="R8" i="24"/>
  <c r="G8" i="24"/>
  <c r="Q7" i="24"/>
  <c r="P7" i="24"/>
  <c r="O7" i="24"/>
  <c r="F7" i="24"/>
  <c r="E7" i="24"/>
  <c r="D7" i="24"/>
  <c r="R6" i="24"/>
  <c r="G6" i="24"/>
  <c r="Q5" i="24"/>
  <c r="P5" i="24"/>
  <c r="O5" i="24"/>
  <c r="F5" i="24"/>
  <c r="E5" i="24"/>
  <c r="D5" i="24"/>
  <c r="R4" i="24"/>
  <c r="S20" i="13"/>
  <c r="H43" i="13"/>
  <c r="I43" i="13" s="1"/>
  <c r="J43" i="13" s="1"/>
  <c r="M80" i="23"/>
  <c r="M79" i="23"/>
  <c r="M78" i="23"/>
  <c r="M77" i="23"/>
  <c r="M76" i="23"/>
  <c r="M75" i="23"/>
  <c r="M74" i="23"/>
  <c r="M73" i="23"/>
  <c r="M72" i="23"/>
  <c r="M71" i="23"/>
  <c r="M70" i="23"/>
  <c r="M69" i="23"/>
  <c r="M68" i="23"/>
  <c r="M67" i="23"/>
  <c r="M66" i="23"/>
  <c r="M65" i="23"/>
  <c r="M64" i="23"/>
  <c r="M63" i="23"/>
  <c r="M62" i="23"/>
  <c r="M61" i="23"/>
  <c r="M60" i="23"/>
  <c r="M59" i="23"/>
  <c r="M58" i="23"/>
  <c r="M57" i="23"/>
  <c r="M56" i="23"/>
  <c r="M55" i="23"/>
  <c r="M54" i="23"/>
  <c r="M53" i="23"/>
  <c r="M52" i="23"/>
  <c r="M51" i="23"/>
  <c r="M50" i="23"/>
  <c r="M49" i="23"/>
  <c r="M48" i="23"/>
  <c r="M47" i="23"/>
  <c r="M46" i="23"/>
  <c r="M45" i="23"/>
  <c r="M44" i="23"/>
  <c r="M43" i="23"/>
  <c r="M42" i="23"/>
  <c r="M41" i="23"/>
  <c r="M40" i="23"/>
  <c r="M39" i="23"/>
  <c r="M38" i="23"/>
  <c r="M37" i="23"/>
  <c r="M36" i="23"/>
  <c r="M35" i="23"/>
  <c r="M34" i="23"/>
  <c r="M33" i="23"/>
  <c r="M32" i="23"/>
  <c r="M31" i="23"/>
  <c r="M30" i="23"/>
  <c r="M29" i="23"/>
  <c r="M28" i="23"/>
  <c r="M27" i="23"/>
  <c r="M26" i="23"/>
  <c r="M25" i="23"/>
  <c r="M24" i="23"/>
  <c r="M23" i="23"/>
  <c r="M22" i="23"/>
  <c r="M21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59" i="23"/>
  <c r="G58" i="23"/>
  <c r="G57" i="23"/>
  <c r="G55" i="23"/>
  <c r="G54" i="23"/>
  <c r="G53" i="23"/>
  <c r="G52" i="23"/>
  <c r="G38" i="23"/>
  <c r="G37" i="23"/>
  <c r="G36" i="23"/>
  <c r="G35" i="23"/>
  <c r="G34" i="23"/>
  <c r="C13" i="23"/>
  <c r="C12" i="23"/>
  <c r="E21" i="23"/>
  <c r="G21" i="23" s="1"/>
  <c r="F21" i="23"/>
  <c r="E22" i="23"/>
  <c r="G22" i="23" s="1"/>
  <c r="F22" i="23"/>
  <c r="E23" i="23"/>
  <c r="G23" i="23" s="1"/>
  <c r="F23" i="23"/>
  <c r="E24" i="23"/>
  <c r="G24" i="23" s="1"/>
  <c r="F24" i="23"/>
  <c r="E25" i="23"/>
  <c r="G25" i="23" s="1"/>
  <c r="F25" i="23"/>
  <c r="E26" i="23"/>
  <c r="G26" i="23" s="1"/>
  <c r="F26" i="23"/>
  <c r="E27" i="23"/>
  <c r="G27" i="23" s="1"/>
  <c r="F27" i="23"/>
  <c r="E28" i="23"/>
  <c r="G28" i="23" s="1"/>
  <c r="F28" i="23"/>
  <c r="E29" i="23"/>
  <c r="G29" i="23" s="1"/>
  <c r="F29" i="23"/>
  <c r="E30" i="23"/>
  <c r="G30" i="23" s="1"/>
  <c r="F30" i="23"/>
  <c r="E31" i="23"/>
  <c r="G31" i="23" s="1"/>
  <c r="F31" i="23"/>
  <c r="E32" i="23"/>
  <c r="G32" i="23" s="1"/>
  <c r="F32" i="23"/>
  <c r="E33" i="23"/>
  <c r="G33" i="23" s="1"/>
  <c r="F33" i="23"/>
  <c r="E34" i="23"/>
  <c r="F34" i="23"/>
  <c r="E35" i="23"/>
  <c r="F35" i="23"/>
  <c r="E36" i="23"/>
  <c r="F36" i="23"/>
  <c r="E37" i="23"/>
  <c r="F37" i="23"/>
  <c r="E38" i="23"/>
  <c r="F38" i="23"/>
  <c r="E39" i="23"/>
  <c r="G39" i="23" s="1"/>
  <c r="F39" i="23"/>
  <c r="E40" i="23"/>
  <c r="G40" i="23" s="1"/>
  <c r="F40" i="23"/>
  <c r="E41" i="23"/>
  <c r="G41" i="23" s="1"/>
  <c r="F41" i="23"/>
  <c r="E42" i="23"/>
  <c r="G42" i="23" s="1"/>
  <c r="F42" i="23"/>
  <c r="E43" i="23"/>
  <c r="G43" i="23" s="1"/>
  <c r="F43" i="23"/>
  <c r="E44" i="23"/>
  <c r="G44" i="23" s="1"/>
  <c r="F44" i="23"/>
  <c r="E45" i="23"/>
  <c r="G45" i="23" s="1"/>
  <c r="F45" i="23"/>
  <c r="E46" i="23"/>
  <c r="G46" i="23" s="1"/>
  <c r="F46" i="23"/>
  <c r="E47" i="23"/>
  <c r="G47" i="23" s="1"/>
  <c r="F47" i="23"/>
  <c r="E48" i="23"/>
  <c r="G48" i="23" s="1"/>
  <c r="F48" i="23"/>
  <c r="E49" i="23"/>
  <c r="G49" i="23" s="1"/>
  <c r="F49" i="23"/>
  <c r="E50" i="23"/>
  <c r="G50" i="23" s="1"/>
  <c r="F50" i="23"/>
  <c r="E51" i="23"/>
  <c r="G51" i="23" s="1"/>
  <c r="F51" i="23"/>
  <c r="E52" i="23"/>
  <c r="F52" i="23"/>
  <c r="E53" i="23"/>
  <c r="F53" i="23"/>
  <c r="E54" i="23"/>
  <c r="F54" i="23"/>
  <c r="E55" i="23"/>
  <c r="F55" i="23"/>
  <c r="E56" i="23"/>
  <c r="G56" i="23" s="1"/>
  <c r="F56" i="23"/>
  <c r="E57" i="23"/>
  <c r="F57" i="23"/>
  <c r="E58" i="23"/>
  <c r="F58" i="23" s="1"/>
  <c r="E59" i="23"/>
  <c r="F59" i="23"/>
  <c r="E60" i="23"/>
  <c r="G60" i="23" s="1"/>
  <c r="F60" i="23"/>
  <c r="E61" i="23"/>
  <c r="F61" i="23"/>
  <c r="E62" i="23"/>
  <c r="F62" i="23" s="1"/>
  <c r="E63" i="23"/>
  <c r="F63" i="23"/>
  <c r="E64" i="23"/>
  <c r="F64" i="23" s="1"/>
  <c r="E65" i="23"/>
  <c r="F65" i="23"/>
  <c r="E66" i="23"/>
  <c r="F66" i="23"/>
  <c r="E67" i="23"/>
  <c r="F67" i="23"/>
  <c r="E68" i="23"/>
  <c r="F68" i="23"/>
  <c r="E69" i="23"/>
  <c r="F69" i="23"/>
  <c r="E70" i="23"/>
  <c r="F70" i="23"/>
  <c r="E71" i="23"/>
  <c r="F71" i="23"/>
  <c r="E72" i="23"/>
  <c r="F72" i="23"/>
  <c r="E73" i="23"/>
  <c r="F73" i="23"/>
  <c r="E74" i="23"/>
  <c r="F74" i="23"/>
  <c r="E75" i="23"/>
  <c r="F75" i="23"/>
  <c r="E76" i="23"/>
  <c r="F76" i="23"/>
  <c r="E77" i="23"/>
  <c r="F77" i="23"/>
  <c r="E78" i="23"/>
  <c r="F78" i="23"/>
  <c r="E79" i="23"/>
  <c r="F79" i="23"/>
  <c r="E80" i="23"/>
  <c r="F80" i="23"/>
  <c r="E81" i="23"/>
  <c r="F81" i="23"/>
  <c r="S22" i="13"/>
  <c r="S18" i="13"/>
  <c r="S27" i="13"/>
  <c r="Y38" i="13"/>
  <c r="V38" i="13"/>
  <c r="R38" i="13"/>
  <c r="Q38" i="13"/>
  <c r="P38" i="13"/>
  <c r="Y5" i="13"/>
  <c r="V5" i="13"/>
  <c r="R5" i="13"/>
  <c r="Q5" i="13"/>
  <c r="P5" i="13"/>
  <c r="V23" i="13"/>
  <c r="Y44" i="13"/>
  <c r="Y39" i="13"/>
  <c r="Y27" i="13"/>
  <c r="Y23" i="13"/>
  <c r="Y19" i="13"/>
  <c r="Y17" i="13"/>
  <c r="Y15" i="13"/>
  <c r="Y13" i="13"/>
  <c r="Y11" i="13"/>
  <c r="Y7" i="13"/>
  <c r="X44" i="13"/>
  <c r="X39" i="13"/>
  <c r="X27" i="13"/>
  <c r="X23" i="13"/>
  <c r="X19" i="13"/>
  <c r="X17" i="13"/>
  <c r="X15" i="13"/>
  <c r="X13" i="13"/>
  <c r="X11" i="13"/>
  <c r="X7" i="13"/>
  <c r="V44" i="13"/>
  <c r="V39" i="13"/>
  <c r="V27" i="13"/>
  <c r="V19" i="13"/>
  <c r="V17" i="13"/>
  <c r="V15" i="13"/>
  <c r="V13" i="13"/>
  <c r="V11" i="13"/>
  <c r="V7" i="13"/>
  <c r="U44" i="13"/>
  <c r="U39" i="13"/>
  <c r="U27" i="13"/>
  <c r="U23" i="13"/>
  <c r="U19" i="13"/>
  <c r="U17" i="13"/>
  <c r="U15" i="13"/>
  <c r="U13" i="13"/>
  <c r="U11" i="13"/>
  <c r="U7" i="13"/>
  <c r="R44" i="13"/>
  <c r="R39" i="13"/>
  <c r="R27" i="13"/>
  <c r="R23" i="13"/>
  <c r="R21" i="13"/>
  <c r="R19" i="13"/>
  <c r="R17" i="13"/>
  <c r="R15" i="13"/>
  <c r="R13" i="13"/>
  <c r="R11" i="13"/>
  <c r="R7" i="13"/>
  <c r="Q33" i="24" s="1"/>
  <c r="Q26" i="24" s="1"/>
  <c r="Q44" i="13"/>
  <c r="Q39" i="13"/>
  <c r="Q27" i="13"/>
  <c r="Q23" i="13"/>
  <c r="Q21" i="13"/>
  <c r="Q19" i="13"/>
  <c r="Q17" i="13"/>
  <c r="Q15" i="13"/>
  <c r="Q13" i="13"/>
  <c r="Q11" i="13"/>
  <c r="Q7" i="13"/>
  <c r="P33" i="24" s="1"/>
  <c r="P26" i="24" s="1"/>
  <c r="O44" i="13"/>
  <c r="O39" i="13"/>
  <c r="O27" i="13"/>
  <c r="O23" i="13"/>
  <c r="O19" i="13"/>
  <c r="O17" i="13"/>
  <c r="O15" i="13"/>
  <c r="O13" i="13"/>
  <c r="O11" i="13"/>
  <c r="O7" i="13"/>
  <c r="N33" i="24" s="1"/>
  <c r="N44" i="13"/>
  <c r="N39" i="13"/>
  <c r="N27" i="13"/>
  <c r="N23" i="13"/>
  <c r="N21" i="13"/>
  <c r="N19" i="13"/>
  <c r="N17" i="13"/>
  <c r="N15" i="13"/>
  <c r="N13" i="13"/>
  <c r="N11" i="13"/>
  <c r="N7" i="13"/>
  <c r="M33" i="24" s="1"/>
  <c r="M44" i="13"/>
  <c r="M39" i="13"/>
  <c r="M27" i="13"/>
  <c r="M23" i="13"/>
  <c r="M19" i="13"/>
  <c r="M17" i="13"/>
  <c r="M15" i="13"/>
  <c r="M13" i="13"/>
  <c r="M11" i="13"/>
  <c r="M7" i="13"/>
  <c r="L33" i="24" s="1"/>
  <c r="L44" i="13"/>
  <c r="L39" i="13"/>
  <c r="L27" i="13"/>
  <c r="L23" i="13"/>
  <c r="L21" i="13"/>
  <c r="L19" i="13"/>
  <c r="L17" i="13"/>
  <c r="L15" i="13"/>
  <c r="L13" i="13"/>
  <c r="L11" i="13"/>
  <c r="L7" i="13"/>
  <c r="K33" i="24" s="1"/>
  <c r="P44" i="13"/>
  <c r="P39" i="13"/>
  <c r="P27" i="13"/>
  <c r="P23" i="13"/>
  <c r="P21" i="13"/>
  <c r="P19" i="13"/>
  <c r="P17" i="13"/>
  <c r="P15" i="13"/>
  <c r="P13" i="13"/>
  <c r="P11" i="13"/>
  <c r="P7" i="13"/>
  <c r="O33" i="24" s="1"/>
  <c r="E228" i="13"/>
  <c r="E229" i="13" s="1"/>
  <c r="F228" i="13"/>
  <c r="F229" i="13" s="1"/>
  <c r="G228" i="13"/>
  <c r="G229" i="13" s="1"/>
  <c r="D228" i="13"/>
  <c r="D229" i="13" s="1"/>
  <c r="D226" i="13"/>
  <c r="D231" i="13"/>
  <c r="G231" i="13"/>
  <c r="F231" i="13"/>
  <c r="E231" i="13"/>
  <c r="H187" i="13"/>
  <c r="I187" i="13" s="1"/>
  <c r="J187" i="13" s="1"/>
  <c r="H204" i="13"/>
  <c r="I204" i="13" s="1"/>
  <c r="D172" i="13"/>
  <c r="G180" i="13"/>
  <c r="F180" i="13"/>
  <c r="E180" i="13"/>
  <c r="D180" i="13"/>
  <c r="G178" i="13"/>
  <c r="F178" i="13"/>
  <c r="E178" i="13"/>
  <c r="D178" i="13"/>
  <c r="G174" i="13"/>
  <c r="F174" i="13"/>
  <c r="E174" i="13"/>
  <c r="D174" i="13"/>
  <c r="G172" i="13"/>
  <c r="F172" i="13"/>
  <c r="E172" i="13"/>
  <c r="H130" i="13"/>
  <c r="I130" i="13" s="1"/>
  <c r="J130" i="13" s="1"/>
  <c r="G67" i="13"/>
  <c r="H157" i="13"/>
  <c r="I157" i="13" s="1"/>
  <c r="J157" i="13" s="1"/>
  <c r="H158" i="13"/>
  <c r="I158" i="13" s="1"/>
  <c r="J158" i="13" s="1"/>
  <c r="H159" i="13"/>
  <c r="I159" i="13" s="1"/>
  <c r="J159" i="13" s="1"/>
  <c r="H160" i="13"/>
  <c r="I160" i="13" s="1"/>
  <c r="J160" i="13" s="1"/>
  <c r="H156" i="13"/>
  <c r="I156" i="13" s="1"/>
  <c r="J156" i="13" s="1"/>
  <c r="H148" i="13"/>
  <c r="I148" i="13" s="1"/>
  <c r="J148" i="13" s="1"/>
  <c r="H149" i="13"/>
  <c r="I149" i="13" s="1"/>
  <c r="J149" i="13" s="1"/>
  <c r="H150" i="13"/>
  <c r="I150" i="13" s="1"/>
  <c r="J150" i="13" s="1"/>
  <c r="H151" i="13"/>
  <c r="I151" i="13" s="1"/>
  <c r="J151" i="13" s="1"/>
  <c r="H152" i="13"/>
  <c r="I152" i="13" s="1"/>
  <c r="J152" i="13" s="1"/>
  <c r="H147" i="13"/>
  <c r="I147" i="13" s="1"/>
  <c r="J147" i="13" s="1"/>
  <c r="H141" i="13"/>
  <c r="I141" i="13" s="1"/>
  <c r="J141" i="13" s="1"/>
  <c r="H142" i="13"/>
  <c r="I142" i="13" s="1"/>
  <c r="J142" i="13" s="1"/>
  <c r="H143" i="13"/>
  <c r="I143" i="13" s="1"/>
  <c r="J143" i="13" s="1"/>
  <c r="H134" i="13"/>
  <c r="H126" i="13"/>
  <c r="I126" i="13" s="1"/>
  <c r="J126" i="13" s="1"/>
  <c r="H128" i="13"/>
  <c r="I128" i="13" s="1"/>
  <c r="J128" i="13" s="1"/>
  <c r="H105" i="13"/>
  <c r="I105" i="13" s="1"/>
  <c r="J105" i="13" s="1"/>
  <c r="H106" i="13"/>
  <c r="I106" i="13" s="1"/>
  <c r="J106" i="13" s="1"/>
  <c r="H108" i="13"/>
  <c r="I108" i="13" s="1"/>
  <c r="J108" i="13" s="1"/>
  <c r="H111" i="13"/>
  <c r="I111" i="13" s="1"/>
  <c r="J111" i="13" s="1"/>
  <c r="H112" i="13"/>
  <c r="I112" i="13" s="1"/>
  <c r="J112" i="13" s="1"/>
  <c r="H113" i="13"/>
  <c r="I113" i="13" s="1"/>
  <c r="J113" i="13" s="1"/>
  <c r="H114" i="13"/>
  <c r="I114" i="13" s="1"/>
  <c r="J114" i="13" s="1"/>
  <c r="H115" i="13"/>
  <c r="I115" i="13" s="1"/>
  <c r="J115" i="13" s="1"/>
  <c r="H104" i="13"/>
  <c r="I104" i="13" s="1"/>
  <c r="J104" i="13" s="1"/>
  <c r="I16" i="24" l="1"/>
  <c r="Q35" i="24"/>
  <c r="Q10" i="24"/>
  <c r="Q11" i="24" s="1"/>
  <c r="Q13" i="24"/>
  <c r="P35" i="24"/>
  <c r="P10" i="24"/>
  <c r="P13" i="24"/>
  <c r="C10" i="24"/>
  <c r="F11" i="24"/>
  <c r="E32" i="24"/>
  <c r="H8" i="24"/>
  <c r="G9" i="24"/>
  <c r="G31" i="24"/>
  <c r="H6" i="24"/>
  <c r="G7" i="24"/>
  <c r="G30" i="24"/>
  <c r="G4" i="24"/>
  <c r="R12" i="24"/>
  <c r="N26" i="24"/>
  <c r="N35" i="24"/>
  <c r="M35" i="24"/>
  <c r="M26" i="24"/>
  <c r="L35" i="24"/>
  <c r="L26" i="24"/>
  <c r="K35" i="24"/>
  <c r="K26" i="24"/>
  <c r="O35" i="24"/>
  <c r="O26" i="24"/>
  <c r="O10" i="19"/>
  <c r="P9" i="19"/>
  <c r="P16" i="19"/>
  <c r="P11" i="19"/>
  <c r="P10" i="19"/>
  <c r="O16" i="19"/>
  <c r="O11" i="19"/>
  <c r="P7" i="19"/>
  <c r="O11" i="24"/>
  <c r="E11" i="24"/>
  <c r="D11" i="24"/>
  <c r="H22" i="13"/>
  <c r="C6" i="23"/>
  <c r="C5" i="23"/>
  <c r="C15" i="23"/>
  <c r="G7" i="23"/>
  <c r="G6" i="23"/>
  <c r="G5" i="23"/>
  <c r="C4" i="23"/>
  <c r="X21" i="13"/>
  <c r="M8" i="13"/>
  <c r="H18" i="13"/>
  <c r="V21" i="13"/>
  <c r="O8" i="13"/>
  <c r="Y21" i="13"/>
  <c r="H20" i="13"/>
  <c r="N25" i="13"/>
  <c r="N26" i="13" s="1"/>
  <c r="I134" i="13"/>
  <c r="H228" i="13"/>
  <c r="H227" i="13" s="1"/>
  <c r="U25" i="13"/>
  <c r="U26" i="13" s="1"/>
  <c r="U8" i="13"/>
  <c r="O25" i="13"/>
  <c r="O26" i="13" s="1"/>
  <c r="M25" i="13"/>
  <c r="M26" i="13" s="1"/>
  <c r="Y8" i="13"/>
  <c r="Y32" i="13"/>
  <c r="Y25" i="13"/>
  <c r="Y26" i="13" s="1"/>
  <c r="X32" i="13"/>
  <c r="X25" i="13"/>
  <c r="X26" i="13" s="1"/>
  <c r="X8" i="13"/>
  <c r="V25" i="13"/>
  <c r="V26" i="13" s="1"/>
  <c r="V32" i="13"/>
  <c r="V8" i="13"/>
  <c r="U32" i="13"/>
  <c r="U21" i="13"/>
  <c r="R32" i="13"/>
  <c r="R25" i="13"/>
  <c r="R26" i="13" s="1"/>
  <c r="R8" i="13"/>
  <c r="Q8" i="13"/>
  <c r="Q32" i="13"/>
  <c r="Q25" i="13"/>
  <c r="Q26" i="13" s="1"/>
  <c r="O32" i="13"/>
  <c r="O21" i="13"/>
  <c r="N8" i="13"/>
  <c r="N32" i="13"/>
  <c r="M21" i="13"/>
  <c r="M32" i="13"/>
  <c r="L32" i="13"/>
  <c r="L25" i="13"/>
  <c r="L26" i="13" s="1"/>
  <c r="L8" i="13"/>
  <c r="P25" i="13"/>
  <c r="P26" i="13" s="1"/>
  <c r="P8" i="13"/>
  <c r="P32" i="13"/>
  <c r="J204" i="13"/>
  <c r="G10" i="24" l="1"/>
  <c r="P11" i="24"/>
  <c r="H31" i="24"/>
  <c r="I8" i="24"/>
  <c r="I31" i="24" s="1"/>
  <c r="H30" i="24"/>
  <c r="I6" i="24"/>
  <c r="I30" i="24" s="1"/>
  <c r="G12" i="24"/>
  <c r="G18" i="24"/>
  <c r="G29" i="24"/>
  <c r="G5" i="24"/>
  <c r="S4" i="13"/>
  <c r="R13" i="24"/>
  <c r="H70" i="23"/>
  <c r="H71" i="23"/>
  <c r="H73" i="23"/>
  <c r="H75" i="23"/>
  <c r="H77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72" i="23"/>
  <c r="H74" i="23"/>
  <c r="H76" i="23"/>
  <c r="H78" i="23"/>
  <c r="H79" i="23"/>
  <c r="H80" i="23"/>
  <c r="H81" i="23"/>
  <c r="H66" i="23"/>
  <c r="H67" i="23"/>
  <c r="H68" i="23"/>
  <c r="H69" i="23"/>
  <c r="C17" i="23"/>
  <c r="D45" i="21" s="1"/>
  <c r="C45" i="21"/>
  <c r="C7" i="23"/>
  <c r="C8" i="23"/>
  <c r="C9" i="23"/>
  <c r="C10" i="23"/>
  <c r="C43" i="21"/>
  <c r="C49" i="21"/>
  <c r="I228" i="13"/>
  <c r="I227" i="13" s="1"/>
  <c r="J134" i="13"/>
  <c r="J228" i="13" s="1"/>
  <c r="J227" i="13" s="1"/>
  <c r="Y34" i="13"/>
  <c r="Y36" i="13"/>
  <c r="Y40" i="13" s="1"/>
  <c r="Y41" i="13" s="1"/>
  <c r="S41" i="13" s="1"/>
  <c r="X34" i="13"/>
  <c r="X36" i="13"/>
  <c r="X40" i="13" s="1"/>
  <c r="X41" i="13" s="1"/>
  <c r="V34" i="13"/>
  <c r="V36" i="13"/>
  <c r="V40" i="13" s="1"/>
  <c r="V41" i="13" s="1"/>
  <c r="U34" i="13"/>
  <c r="U36" i="13"/>
  <c r="U40" i="13" s="1"/>
  <c r="U41" i="13" s="1"/>
  <c r="R34" i="13"/>
  <c r="R36" i="13"/>
  <c r="R40" i="13" s="1"/>
  <c r="R41" i="13" s="1"/>
  <c r="Q34" i="13"/>
  <c r="Q36" i="13"/>
  <c r="Q40" i="13" s="1"/>
  <c r="Q41" i="13" s="1"/>
  <c r="O34" i="13"/>
  <c r="O36" i="13"/>
  <c r="O40" i="13" s="1"/>
  <c r="O41" i="13" s="1"/>
  <c r="N34" i="13"/>
  <c r="N36" i="13"/>
  <c r="N40" i="13" s="1"/>
  <c r="N41" i="13" s="1"/>
  <c r="M34" i="13"/>
  <c r="M36" i="13"/>
  <c r="M40" i="13" s="1"/>
  <c r="M41" i="13" s="1"/>
  <c r="L36" i="13"/>
  <c r="L40" i="13" s="1"/>
  <c r="L41" i="13" s="1"/>
  <c r="L34" i="13"/>
  <c r="P34" i="13"/>
  <c r="P36" i="13"/>
  <c r="P40" i="13" s="1"/>
  <c r="P41" i="13" s="1"/>
  <c r="D55" i="13"/>
  <c r="J61" i="13"/>
  <c r="I61" i="13"/>
  <c r="C15" i="21" s="1"/>
  <c r="H61" i="13"/>
  <c r="C26" i="21" s="1"/>
  <c r="E48" i="13"/>
  <c r="E49" i="13" s="1"/>
  <c r="E50" i="13" s="1"/>
  <c r="F48" i="13"/>
  <c r="F49" i="13" s="1"/>
  <c r="F50" i="13" s="1"/>
  <c r="G48" i="13"/>
  <c r="G49" i="13" s="1"/>
  <c r="G50" i="13" s="1"/>
  <c r="J50" i="13" s="1"/>
  <c r="D48" i="13"/>
  <c r="D49" i="13" s="1"/>
  <c r="D50" i="13" s="1"/>
  <c r="D39" i="13"/>
  <c r="G23" i="13"/>
  <c r="D19" i="13"/>
  <c r="E19" i="13"/>
  <c r="F19" i="13"/>
  <c r="G19" i="13"/>
  <c r="D17" i="13"/>
  <c r="G17" i="13"/>
  <c r="E15" i="13"/>
  <c r="F15" i="13"/>
  <c r="G15" i="13"/>
  <c r="D15" i="13"/>
  <c r="G13" i="13"/>
  <c r="D13" i="13"/>
  <c r="E13" i="13"/>
  <c r="F13" i="13"/>
  <c r="D11" i="13"/>
  <c r="E11" i="13"/>
  <c r="F11" i="13"/>
  <c r="G11" i="13"/>
  <c r="E7" i="13"/>
  <c r="D33" i="24" s="1"/>
  <c r="F7" i="13"/>
  <c r="E33" i="24" s="1"/>
  <c r="G7" i="13"/>
  <c r="F33" i="24" s="1"/>
  <c r="D7" i="13"/>
  <c r="C33" i="24" s="1"/>
  <c r="E5" i="13"/>
  <c r="F5" i="13"/>
  <c r="G5" i="13"/>
  <c r="G78" i="13"/>
  <c r="G68" i="13"/>
  <c r="G69" i="13"/>
  <c r="G11" i="24" l="1"/>
  <c r="G32" i="24"/>
  <c r="G33" i="24" s="1"/>
  <c r="H10" i="24"/>
  <c r="G13" i="24"/>
  <c r="H18" i="24"/>
  <c r="G19" i="24"/>
  <c r="G26" i="24"/>
  <c r="S10" i="13"/>
  <c r="R38" i="24" s="1"/>
  <c r="R39" i="24" s="1"/>
  <c r="S14" i="13"/>
  <c r="S16" i="13"/>
  <c r="S12" i="13"/>
  <c r="D34" i="24"/>
  <c r="D35" i="24"/>
  <c r="D26" i="24"/>
  <c r="E34" i="24"/>
  <c r="E35" i="24"/>
  <c r="E26" i="24"/>
  <c r="F34" i="24"/>
  <c r="F35" i="24"/>
  <c r="F26" i="24"/>
  <c r="C35" i="24"/>
  <c r="C34" i="24"/>
  <c r="C26" i="24"/>
  <c r="I80" i="23"/>
  <c r="I79" i="23"/>
  <c r="I78" i="23"/>
  <c r="I77" i="23"/>
  <c r="I76" i="23"/>
  <c r="I75" i="23"/>
  <c r="I74" i="23"/>
  <c r="I73" i="23"/>
  <c r="I72" i="23"/>
  <c r="I81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J81" i="23"/>
  <c r="J80" i="23"/>
  <c r="J79" i="23"/>
  <c r="J78" i="23"/>
  <c r="J77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K80" i="23"/>
  <c r="K79" i="23"/>
  <c r="K78" i="23"/>
  <c r="K77" i="23"/>
  <c r="K76" i="23"/>
  <c r="K75" i="23"/>
  <c r="K74" i="23"/>
  <c r="K73" i="23"/>
  <c r="K72" i="23"/>
  <c r="K71" i="23"/>
  <c r="K81" i="23"/>
  <c r="K70" i="23"/>
  <c r="K69" i="23"/>
  <c r="K68" i="23"/>
  <c r="K67" i="23"/>
  <c r="K66" i="23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L78" i="23"/>
  <c r="L77" i="23"/>
  <c r="L76" i="23"/>
  <c r="L75" i="23"/>
  <c r="L74" i="23"/>
  <c r="L73" i="23"/>
  <c r="L72" i="23"/>
  <c r="L71" i="23"/>
  <c r="C44" i="21"/>
  <c r="L81" i="23"/>
  <c r="L80" i="23"/>
  <c r="L79" i="23"/>
  <c r="L70" i="23"/>
  <c r="L69" i="23"/>
  <c r="L68" i="23"/>
  <c r="L67" i="23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L30" i="23"/>
  <c r="L29" i="23"/>
  <c r="L28" i="23"/>
  <c r="L27" i="23"/>
  <c r="L26" i="23"/>
  <c r="L25" i="23"/>
  <c r="L24" i="23"/>
  <c r="L23" i="23"/>
  <c r="L22" i="23"/>
  <c r="L21" i="23"/>
  <c r="D21" i="13"/>
  <c r="E21" i="13"/>
  <c r="F21" i="13"/>
  <c r="C27" i="21"/>
  <c r="G21" i="13"/>
  <c r="E8" i="13"/>
  <c r="F8" i="13"/>
  <c r="G8" i="13"/>
  <c r="D8" i="13"/>
  <c r="G32" i="13"/>
  <c r="F32" i="13"/>
  <c r="D53" i="13"/>
  <c r="E32" i="13"/>
  <c r="D32" i="13"/>
  <c r="G66" i="13"/>
  <c r="G181" i="13"/>
  <c r="H181" i="13" s="1"/>
  <c r="I181" i="13" s="1"/>
  <c r="J181" i="13" s="1"/>
  <c r="G179" i="13"/>
  <c r="H179" i="13" s="1"/>
  <c r="I179" i="13" s="1"/>
  <c r="J179" i="13" s="1"/>
  <c r="G176" i="13"/>
  <c r="G177" i="13" s="1"/>
  <c r="G175" i="13"/>
  <c r="G173" i="13"/>
  <c r="H173" i="13" s="1"/>
  <c r="I173" i="13" s="1"/>
  <c r="J173" i="13" s="1"/>
  <c r="G116" i="13"/>
  <c r="H32" i="24" l="1"/>
  <c r="I10" i="24"/>
  <c r="I32" i="24" s="1"/>
  <c r="H4" i="24"/>
  <c r="I18" i="24"/>
  <c r="I4" i="24" s="1"/>
  <c r="R33" i="24"/>
  <c r="G35" i="24"/>
  <c r="G36" i="13"/>
  <c r="G40" i="13" s="1"/>
  <c r="H29" i="24" l="1"/>
  <c r="H33" i="24" s="1"/>
  <c r="H26" i="24" s="1"/>
  <c r="H12" i="24"/>
  <c r="H5" i="24"/>
  <c r="I29" i="24"/>
  <c r="I33" i="24" s="1"/>
  <c r="I26" i="24" s="1"/>
  <c r="I5" i="24"/>
  <c r="I12" i="24"/>
  <c r="R26" i="24"/>
  <c r="R35" i="24"/>
  <c r="S6" i="13" s="1"/>
  <c r="H35" i="24" l="1"/>
  <c r="I6" i="13" s="1"/>
  <c r="I4" i="13"/>
  <c r="H13" i="24"/>
  <c r="I35" i="24"/>
  <c r="J6" i="13" s="1"/>
  <c r="J4" i="13"/>
  <c r="I13" i="24"/>
  <c r="S17" i="13" l="1"/>
  <c r="S13" i="13"/>
  <c r="S11" i="13"/>
  <c r="D220" i="13"/>
  <c r="D213" i="13"/>
  <c r="D212" i="13" s="1"/>
  <c r="H79" i="13"/>
  <c r="H78" i="13" s="1"/>
  <c r="I79" i="13"/>
  <c r="I78" i="13" s="1"/>
  <c r="J79" i="13"/>
  <c r="J78" i="13" s="1"/>
  <c r="F196" i="13"/>
  <c r="D196" i="13"/>
  <c r="E196" i="13"/>
  <c r="G200" i="13"/>
  <c r="H200" i="13"/>
  <c r="I200" i="13"/>
  <c r="J200" i="13"/>
  <c r="G189" i="13"/>
  <c r="H189" i="13"/>
  <c r="I189" i="13"/>
  <c r="J189" i="13"/>
  <c r="G186" i="13"/>
  <c r="H186" i="13"/>
  <c r="I186" i="13"/>
  <c r="J186" i="13"/>
  <c r="F189" i="13"/>
  <c r="E189" i="13"/>
  <c r="E181" i="13"/>
  <c r="F181" i="13"/>
  <c r="D181" i="13"/>
  <c r="E179" i="13"/>
  <c r="F179" i="13"/>
  <c r="E176" i="13"/>
  <c r="E177" i="13" s="1"/>
  <c r="F176" i="13"/>
  <c r="F177" i="13" s="1"/>
  <c r="D176" i="13"/>
  <c r="D177" i="13" s="1"/>
  <c r="E175" i="13"/>
  <c r="F175" i="13"/>
  <c r="D175" i="13"/>
  <c r="E173" i="13"/>
  <c r="F173" i="13"/>
  <c r="D173" i="13"/>
  <c r="D78" i="13"/>
  <c r="E78" i="13"/>
  <c r="F78" i="13"/>
  <c r="E70" i="13"/>
  <c r="F70" i="13"/>
  <c r="D70" i="13"/>
  <c r="D67" i="13"/>
  <c r="E67" i="13"/>
  <c r="D68" i="13"/>
  <c r="E68" i="13"/>
  <c r="D69" i="13"/>
  <c r="E69" i="13"/>
  <c r="F68" i="13"/>
  <c r="F69" i="13"/>
  <c r="F67" i="13"/>
  <c r="F116" i="13"/>
  <c r="D116" i="13"/>
  <c r="D219" i="13" l="1"/>
  <c r="E216" i="13"/>
  <c r="E220" i="13" s="1"/>
  <c r="F216" i="13" s="1"/>
  <c r="E209" i="13"/>
  <c r="D27" i="13"/>
  <c r="D25" i="13" s="1"/>
  <c r="E27" i="13"/>
  <c r="E25" i="13" s="1"/>
  <c r="F27" i="13"/>
  <c r="F25" i="13" s="1"/>
  <c r="F23" i="13"/>
  <c r="E23" i="13"/>
  <c r="D23" i="13"/>
  <c r="E219" i="13" l="1"/>
  <c r="E213" i="13"/>
  <c r="F209" i="13" s="1"/>
  <c r="F213" i="13" s="1"/>
  <c r="G209" i="13" s="1"/>
  <c r="F220" i="13"/>
  <c r="G216" i="13" s="1"/>
  <c r="G220" i="13" s="1"/>
  <c r="E200" i="13"/>
  <c r="F200" i="13"/>
  <c r="D200" i="13"/>
  <c r="D189" i="13"/>
  <c r="D66" i="13"/>
  <c r="E66" i="13"/>
  <c r="D186" i="13"/>
  <c r="E186" i="13"/>
  <c r="F66" i="13"/>
  <c r="F186" i="13"/>
  <c r="G213" i="13" l="1"/>
  <c r="G212" i="13" s="1"/>
  <c r="F212" i="13"/>
  <c r="F219" i="13"/>
  <c r="E212" i="13"/>
  <c r="D192" i="13"/>
  <c r="D203" i="13"/>
  <c r="E195" i="13" s="1"/>
  <c r="F162" i="13"/>
  <c r="F164" i="13" s="1"/>
  <c r="F153" i="13"/>
  <c r="F144" i="13"/>
  <c r="E17" i="13"/>
  <c r="F17" i="13"/>
  <c r="D179" i="13"/>
  <c r="E162" i="13"/>
  <c r="E164" i="13" s="1"/>
  <c r="D162" i="13"/>
  <c r="D164" i="13" s="1"/>
  <c r="E153" i="13"/>
  <c r="D153" i="13"/>
  <c r="E144" i="13"/>
  <c r="D144" i="13"/>
  <c r="E116" i="13"/>
  <c r="F94" i="13"/>
  <c r="E94" i="13"/>
  <c r="D94" i="13"/>
  <c r="F44" i="13"/>
  <c r="E44" i="13"/>
  <c r="D44" i="13"/>
  <c r="D56" i="13" s="1"/>
  <c r="F39" i="13"/>
  <c r="E39" i="13"/>
  <c r="F38" i="13"/>
  <c r="E38" i="13"/>
  <c r="E185" i="13" l="1"/>
  <c r="E192" i="13" s="1"/>
  <c r="D205" i="13"/>
  <c r="C33" i="21"/>
  <c r="D36" i="13"/>
  <c r="D65" i="13" s="1"/>
  <c r="E203" i="13"/>
  <c r="E86" i="13"/>
  <c r="G153" i="13"/>
  <c r="F86" i="13"/>
  <c r="D86" i="13"/>
  <c r="E198" i="13" l="1"/>
  <c r="F185" i="13"/>
  <c r="E205" i="13"/>
  <c r="D75" i="13"/>
  <c r="D40" i="13"/>
  <c r="D41" i="13" s="1"/>
  <c r="H209" i="13"/>
  <c r="H212" i="13"/>
  <c r="I212" i="13" s="1"/>
  <c r="J212" i="13" s="1"/>
  <c r="G34" i="13"/>
  <c r="H34" i="13" s="1"/>
  <c r="G219" i="13"/>
  <c r="H219" i="13" s="1"/>
  <c r="I219" i="13" s="1"/>
  <c r="J219" i="13" s="1"/>
  <c r="F195" i="13"/>
  <c r="F203" i="13" s="1"/>
  <c r="E52" i="13"/>
  <c r="D34" i="13"/>
  <c r="D26" i="13"/>
  <c r="E34" i="13"/>
  <c r="E26" i="13"/>
  <c r="F34" i="13"/>
  <c r="F26" i="13"/>
  <c r="H153" i="13"/>
  <c r="S15" i="13" l="1"/>
  <c r="F192" i="13"/>
  <c r="E53" i="13"/>
  <c r="E56" i="13"/>
  <c r="E55" i="13"/>
  <c r="H211" i="13"/>
  <c r="H68" i="13" s="1"/>
  <c r="H29" i="13" s="1"/>
  <c r="H216" i="13"/>
  <c r="H218" i="13" s="1"/>
  <c r="G195" i="13"/>
  <c r="F52" i="13"/>
  <c r="E36" i="13"/>
  <c r="F36" i="13"/>
  <c r="G86" i="13"/>
  <c r="J153" i="13"/>
  <c r="I153" i="13"/>
  <c r="F198" i="13" l="1"/>
  <c r="F205" i="13"/>
  <c r="G185" i="13"/>
  <c r="G192" i="13" s="1"/>
  <c r="F53" i="13"/>
  <c r="F56" i="13"/>
  <c r="F55" i="13"/>
  <c r="F65" i="13"/>
  <c r="F40" i="13"/>
  <c r="E65" i="13"/>
  <c r="E40" i="13"/>
  <c r="E41" i="13" s="1"/>
  <c r="H213" i="13"/>
  <c r="H109" i="13" s="1"/>
  <c r="H220" i="13"/>
  <c r="H110" i="13" s="1"/>
  <c r="H69" i="13"/>
  <c r="H30" i="13" s="1"/>
  <c r="I34" i="13"/>
  <c r="J34" i="13" s="1"/>
  <c r="G52" i="13"/>
  <c r="G198" i="13" l="1"/>
  <c r="H198" i="13" s="1"/>
  <c r="H185" i="13"/>
  <c r="H192" i="13" s="1"/>
  <c r="I185" i="13" s="1"/>
  <c r="I192" i="13" s="1"/>
  <c r="E75" i="13"/>
  <c r="E96" i="13" s="1"/>
  <c r="F75" i="13"/>
  <c r="F96" i="13" s="1"/>
  <c r="G53" i="13"/>
  <c r="G55" i="13"/>
  <c r="F41" i="13"/>
  <c r="I209" i="13"/>
  <c r="G196" i="13"/>
  <c r="G203" i="13" s="1"/>
  <c r="I216" i="13"/>
  <c r="I218" i="13" s="1"/>
  <c r="D96" i="13"/>
  <c r="H52" i="13"/>
  <c r="I198" i="13" l="1"/>
  <c r="H197" i="13"/>
  <c r="H195" i="13"/>
  <c r="G205" i="13"/>
  <c r="H55" i="13"/>
  <c r="I211" i="13"/>
  <c r="G27" i="13"/>
  <c r="G25" i="13" s="1"/>
  <c r="I220" i="13"/>
  <c r="I110" i="13" s="1"/>
  <c r="I69" i="13"/>
  <c r="I30" i="13" s="1"/>
  <c r="J185" i="13"/>
  <c r="D99" i="13"/>
  <c r="I52" i="13"/>
  <c r="H67" i="13" l="1"/>
  <c r="H196" i="13"/>
  <c r="H203" i="13" s="1"/>
  <c r="J198" i="13"/>
  <c r="I197" i="13"/>
  <c r="E97" i="13"/>
  <c r="E99" i="13" s="1"/>
  <c r="D129" i="13"/>
  <c r="E225" i="13" s="1"/>
  <c r="E226" i="13" s="1"/>
  <c r="I55" i="13"/>
  <c r="G26" i="13"/>
  <c r="I68" i="13"/>
  <c r="I29" i="13" s="1"/>
  <c r="I213" i="13"/>
  <c r="I109" i="13" s="1"/>
  <c r="J216" i="13"/>
  <c r="J218" i="13" s="1"/>
  <c r="J192" i="13"/>
  <c r="J52" i="13"/>
  <c r="H66" i="13" l="1"/>
  <c r="H28" i="13"/>
  <c r="H27" i="13" s="1"/>
  <c r="I67" i="13"/>
  <c r="I196" i="13"/>
  <c r="H205" i="13"/>
  <c r="H107" i="13" s="1"/>
  <c r="H116" i="13" s="1"/>
  <c r="I195" i="13"/>
  <c r="D131" i="13"/>
  <c r="F97" i="13"/>
  <c r="F99" i="13" s="1"/>
  <c r="E129" i="13"/>
  <c r="F225" i="13" s="1"/>
  <c r="F226" i="13" s="1"/>
  <c r="J197" i="13"/>
  <c r="J55" i="13"/>
  <c r="J209" i="13"/>
  <c r="J211" i="13" s="1"/>
  <c r="J220" i="13"/>
  <c r="J110" i="13" s="1"/>
  <c r="J69" i="13"/>
  <c r="J30" i="13" s="1"/>
  <c r="I203" i="13" l="1"/>
  <c r="I28" i="13"/>
  <c r="I27" i="13" s="1"/>
  <c r="I66" i="13"/>
  <c r="J67" i="13"/>
  <c r="J28" i="13" s="1"/>
  <c r="J196" i="13"/>
  <c r="G97" i="13"/>
  <c r="F129" i="13"/>
  <c r="G225" i="13" s="1"/>
  <c r="G226" i="13" s="1"/>
  <c r="H226" i="13" s="1"/>
  <c r="E131" i="13"/>
  <c r="D167" i="13"/>
  <c r="D166" i="13"/>
  <c r="J68" i="13"/>
  <c r="J29" i="13" s="1"/>
  <c r="J213" i="13"/>
  <c r="J109" i="13" s="1"/>
  <c r="I205" i="13" l="1"/>
  <c r="I107" i="13" s="1"/>
  <c r="I116" i="13" s="1"/>
  <c r="J195" i="13"/>
  <c r="J203" i="13" s="1"/>
  <c r="J205" i="13" s="1"/>
  <c r="J107" i="13" s="1"/>
  <c r="J116" i="13" s="1"/>
  <c r="I226" i="13"/>
  <c r="J226" i="13" s="1"/>
  <c r="E166" i="13"/>
  <c r="E167" i="13"/>
  <c r="F131" i="13"/>
  <c r="J27" i="13"/>
  <c r="J66" i="13"/>
  <c r="F167" i="13" l="1"/>
  <c r="F166" i="13"/>
  <c r="G144" i="13"/>
  <c r="J86" i="13"/>
  <c r="I86" i="13"/>
  <c r="H86" i="13"/>
  <c r="G65" i="13"/>
  <c r="G41" i="13" l="1"/>
  <c r="G70" i="13"/>
  <c r="G75" i="13" l="1"/>
  <c r="G44" i="13"/>
  <c r="G56" i="13" s="1"/>
  <c r="G38" i="13" l="1"/>
  <c r="G39" i="13"/>
  <c r="H91" i="13" l="1"/>
  <c r="G94" i="13"/>
  <c r="G96" i="13" s="1"/>
  <c r="G99" i="13" s="1"/>
  <c r="G129" i="13" s="1"/>
  <c r="H225" i="13" s="1"/>
  <c r="H224" i="13" s="1"/>
  <c r="H231" i="13" s="1"/>
  <c r="G131" i="13" l="1"/>
  <c r="G162" i="13"/>
  <c r="G164" i="13" s="1"/>
  <c r="H97" i="13"/>
  <c r="G166" i="13" l="1"/>
  <c r="G167" i="13"/>
  <c r="H94" i="13"/>
  <c r="H6" i="13" l="1"/>
  <c r="I178" i="13" l="1"/>
  <c r="I176" i="13"/>
  <c r="I119" i="13" s="1"/>
  <c r="H176" i="13"/>
  <c r="H119" i="13" s="1"/>
  <c r="H178" i="13"/>
  <c r="S23" i="13" l="1"/>
  <c r="S5" i="13"/>
  <c r="S21" i="13"/>
  <c r="S7" i="13"/>
  <c r="S8" i="13" s="1"/>
  <c r="S19" i="13"/>
  <c r="H4" i="13"/>
  <c r="I172" i="13"/>
  <c r="I180" i="13"/>
  <c r="I174" i="13"/>
  <c r="I7" i="13"/>
  <c r="I8" i="13" s="1"/>
  <c r="I136" i="13"/>
  <c r="I135" i="13"/>
  <c r="H136" i="13"/>
  <c r="H135" i="13"/>
  <c r="I71" i="13"/>
  <c r="H71" i="13"/>
  <c r="J176" i="13"/>
  <c r="J178" i="13"/>
  <c r="H180" i="13" l="1"/>
  <c r="H172" i="13"/>
  <c r="H19" i="13"/>
  <c r="H7" i="13"/>
  <c r="H8" i="13" s="1"/>
  <c r="I5" i="13"/>
  <c r="H174" i="13"/>
  <c r="H5" i="13"/>
  <c r="H21" i="13"/>
  <c r="I21" i="13" s="1"/>
  <c r="H23" i="13"/>
  <c r="I23" i="13" s="1"/>
  <c r="I122" i="13"/>
  <c r="I120" i="13"/>
  <c r="I121" i="13"/>
  <c r="I137" i="13"/>
  <c r="I138" i="13"/>
  <c r="I139" i="13"/>
  <c r="I140" i="13"/>
  <c r="I124" i="13"/>
  <c r="I127" i="13"/>
  <c r="I125" i="13"/>
  <c r="I123" i="13"/>
  <c r="J135" i="13"/>
  <c r="J136" i="13"/>
  <c r="J119" i="13"/>
  <c r="J71" i="13" s="1"/>
  <c r="I20" i="13" l="1"/>
  <c r="J21" i="13"/>
  <c r="J20" i="13" s="1"/>
  <c r="I22" i="13"/>
  <c r="J23" i="13"/>
  <c r="J22" i="13" s="1"/>
  <c r="H140" i="13"/>
  <c r="H138" i="13"/>
  <c r="H139" i="13"/>
  <c r="H137" i="13"/>
  <c r="H121" i="13"/>
  <c r="H122" i="13"/>
  <c r="H120" i="13"/>
  <c r="H127" i="13"/>
  <c r="H124" i="13"/>
  <c r="H125" i="13"/>
  <c r="H123" i="13"/>
  <c r="I144" i="13"/>
  <c r="J5" i="13"/>
  <c r="J180" i="13"/>
  <c r="J172" i="13"/>
  <c r="J174" i="13"/>
  <c r="J7" i="13"/>
  <c r="H72" i="13" l="1"/>
  <c r="I72" i="13"/>
  <c r="I73" i="13"/>
  <c r="H73" i="13"/>
  <c r="H144" i="13"/>
  <c r="J140" i="13"/>
  <c r="J137" i="13"/>
  <c r="J138" i="13"/>
  <c r="J139" i="13"/>
  <c r="J121" i="13"/>
  <c r="J120" i="13"/>
  <c r="J122" i="13"/>
  <c r="J125" i="13"/>
  <c r="J127" i="13"/>
  <c r="J123" i="13"/>
  <c r="J124" i="13"/>
  <c r="J8" i="13"/>
  <c r="H70" i="13" l="1"/>
  <c r="I70" i="13"/>
  <c r="J144" i="13"/>
  <c r="J73" i="13"/>
  <c r="J72" i="13"/>
  <c r="J70" i="13" l="1"/>
  <c r="H10" i="13" l="1"/>
  <c r="H14" i="13"/>
  <c r="H15" i="13" l="1"/>
  <c r="I15" i="13" s="1"/>
  <c r="J15" i="13" s="1"/>
  <c r="H11" i="13"/>
  <c r="I11" i="13" s="1"/>
  <c r="H12" i="13"/>
  <c r="S25" i="13"/>
  <c r="S26" i="13" s="1"/>
  <c r="H13" i="13" l="1"/>
  <c r="I13" i="13" s="1"/>
  <c r="I10" i="13"/>
  <c r="J11" i="13"/>
  <c r="J10" i="13" s="1"/>
  <c r="I12" i="13" l="1"/>
  <c r="J13" i="13"/>
  <c r="J12" i="13" s="1"/>
  <c r="H16" i="13"/>
  <c r="G38" i="24" s="1"/>
  <c r="G39" i="24" s="1"/>
  <c r="S32" i="13"/>
  <c r="H25" i="13" l="1"/>
  <c r="H26" i="13" s="1"/>
  <c r="H32" i="13"/>
  <c r="H17" i="13"/>
  <c r="I17" i="13" s="1"/>
  <c r="J17" i="13" s="1"/>
  <c r="S33" i="13" l="1"/>
  <c r="H33" i="13" l="1"/>
  <c r="H36" i="13" s="1"/>
  <c r="H65" i="13" s="1"/>
  <c r="H75" i="13" s="1"/>
  <c r="H96" i="13" s="1"/>
  <c r="H99" i="13" s="1"/>
  <c r="S34" i="13"/>
  <c r="S36" i="13"/>
  <c r="S40" i="13" l="1"/>
  <c r="H129" i="13"/>
  <c r="I97" i="13"/>
  <c r="H131" i="13" l="1"/>
  <c r="H167" i="13" s="1"/>
  <c r="I225" i="13"/>
  <c r="I224" i="13" s="1"/>
  <c r="I231" i="13" s="1"/>
  <c r="I18" i="13" s="1"/>
  <c r="H40" i="13"/>
  <c r="S37" i="13"/>
  <c r="R40" i="24" s="1"/>
  <c r="I19" i="13" l="1"/>
  <c r="H41" i="13"/>
  <c r="I41" i="13" s="1"/>
  <c r="H163" i="13"/>
  <c r="S44" i="13"/>
  <c r="S39" i="13"/>
  <c r="S38" i="13"/>
  <c r="H37" i="13"/>
  <c r="G40" i="24" s="1"/>
  <c r="G41" i="24" s="1"/>
  <c r="C30" i="21" l="1"/>
  <c r="H44" i="13"/>
  <c r="H38" i="13"/>
  <c r="H161" i="13"/>
  <c r="H162" i="13" s="1"/>
  <c r="H164" i="13" s="1"/>
  <c r="H166" i="13" s="1"/>
  <c r="H39" i="13"/>
  <c r="J41" i="13"/>
  <c r="H56" i="13" l="1"/>
  <c r="C13" i="21"/>
  <c r="C23" i="21" s="1"/>
  <c r="I131" i="13" l="1"/>
  <c r="I167" i="13" l="1"/>
  <c r="J131" i="13" l="1"/>
  <c r="J167" i="13" s="1"/>
  <c r="I14" i="13"/>
  <c r="I16" i="13" l="1"/>
  <c r="H38" i="24" s="1"/>
  <c r="H39" i="24" s="1"/>
  <c r="I32" i="13" l="1"/>
  <c r="I25" i="13"/>
  <c r="I26" i="13" s="1"/>
  <c r="I36" i="13" l="1"/>
  <c r="I33" i="13"/>
  <c r="I40" i="13" l="1"/>
  <c r="I65" i="13"/>
  <c r="I75" i="13" s="1"/>
  <c r="I163" i="13" l="1"/>
  <c r="I37" i="13"/>
  <c r="H40" i="24" l="1"/>
  <c r="H41" i="24" s="1"/>
  <c r="I39" i="13"/>
  <c r="I44" i="13"/>
  <c r="I49" i="13"/>
  <c r="C32" i="21"/>
  <c r="I38" i="13"/>
  <c r="I56" i="13" l="1"/>
  <c r="C14" i="23"/>
  <c r="C14" i="21"/>
  <c r="I48" i="13"/>
  <c r="J91" i="13"/>
  <c r="J94" i="13" s="1"/>
  <c r="J14" i="13"/>
  <c r="C16" i="21" l="1"/>
  <c r="C17" i="21" s="1"/>
  <c r="C24" i="21"/>
  <c r="C48" i="21"/>
  <c r="C47" i="21"/>
  <c r="C16" i="23"/>
  <c r="I53" i="13"/>
  <c r="C20" i="21"/>
  <c r="C21" i="21" s="1"/>
  <c r="M81" i="23" l="1"/>
  <c r="C46" i="21"/>
  <c r="C18" i="23"/>
  <c r="D46" i="21" s="1"/>
  <c r="J16" i="13" l="1"/>
  <c r="J25" i="13" l="1"/>
  <c r="J26" i="13" s="1"/>
  <c r="I38" i="24"/>
  <c r="I39" i="24" s="1"/>
  <c r="H49" i="13" l="1"/>
  <c r="I91" i="13" l="1"/>
  <c r="H48" i="13"/>
  <c r="I161" i="13" l="1"/>
  <c r="I162" i="13" s="1"/>
  <c r="I164" i="13" s="1"/>
  <c r="I166" i="13" s="1"/>
  <c r="I94" i="13"/>
  <c r="I96" i="13" s="1"/>
  <c r="I99" i="13" s="1"/>
  <c r="C18" i="21"/>
  <c r="C19" i="21" s="1"/>
  <c r="C22" i="21" s="1"/>
  <c r="H47" i="13"/>
  <c r="H53" i="13"/>
  <c r="J97" i="13" l="1"/>
  <c r="I129" i="13"/>
  <c r="J225" i="13" s="1"/>
  <c r="J224" i="13" s="1"/>
  <c r="J231" i="13" s="1"/>
  <c r="J18" i="13" s="1"/>
  <c r="J32" i="13" l="1"/>
  <c r="J19" i="13"/>
  <c r="J36" i="13" l="1"/>
  <c r="J33" i="13"/>
  <c r="J40" i="13" l="1"/>
  <c r="J65" i="13"/>
  <c r="J75" i="13" s="1"/>
  <c r="J96" i="13" s="1"/>
  <c r="J99" i="13" s="1"/>
  <c r="J129" i="13" s="1"/>
  <c r="J163" i="13" l="1"/>
  <c r="J37" i="13"/>
  <c r="J161" i="13" s="1"/>
  <c r="J162" i="13" s="1"/>
  <c r="J164" i="13" s="1"/>
  <c r="J166" i="13" s="1"/>
  <c r="I40" i="24" l="1"/>
  <c r="I41" i="24" s="1"/>
  <c r="J39" i="13"/>
  <c r="J49" i="13"/>
  <c r="J48" i="13" s="1"/>
  <c r="J53" i="13" s="1"/>
  <c r="J44" i="13"/>
  <c r="J56" i="13" s="1"/>
  <c r="J38" i="13"/>
</calcChain>
</file>

<file path=xl/sharedStrings.xml><?xml version="1.0" encoding="utf-8"?>
<sst xmlns="http://schemas.openxmlformats.org/spreadsheetml/2006/main" count="686" uniqueCount="552">
  <si>
    <t xml:space="preserve">RMB’000 </t>
  </si>
  <si>
    <t>人民币(千元)</t>
  </si>
  <si>
    <t>ACT实际</t>
  </si>
  <si>
    <t>EST预测</t>
  </si>
  <si>
    <t>Income Statement</t>
  </si>
  <si>
    <t>收益表</t>
  </si>
  <si>
    <t>Operating income</t>
  </si>
  <si>
    <t>yoy growth (%)</t>
  </si>
  <si>
    <t>同比增长（%）</t>
  </si>
  <si>
    <t>Operating costs</t>
  </si>
  <si>
    <t>Gross profit</t>
  </si>
  <si>
    <t>毛利</t>
  </si>
  <si>
    <t>GPM (%)</t>
  </si>
  <si>
    <t>毛利率（%）</t>
  </si>
  <si>
    <t>as a % of revenue</t>
  </si>
  <si>
    <t>对比收入</t>
  </si>
  <si>
    <t>Administrative expenses</t>
  </si>
  <si>
    <t>Profit from operations</t>
  </si>
  <si>
    <t>经营利润</t>
  </si>
  <si>
    <t>Profit before taxation</t>
  </si>
  <si>
    <t>除稅前溢利</t>
  </si>
  <si>
    <t>Income tax expense</t>
  </si>
  <si>
    <t>所得稅開支</t>
  </si>
  <si>
    <t>Effective tax rate (%)</t>
  </si>
  <si>
    <t>税率（%）</t>
  </si>
  <si>
    <t>Profit after taxation</t>
  </si>
  <si>
    <t>除稅後溢利</t>
  </si>
  <si>
    <t>Equity shareholders of the Company</t>
  </si>
  <si>
    <t>本公司權益持有人</t>
  </si>
  <si>
    <t>net margin (%)</t>
  </si>
  <si>
    <t>净利润率（%）</t>
  </si>
  <si>
    <t>Non-controlling interests</t>
  </si>
  <si>
    <t>非控股權益</t>
  </si>
  <si>
    <t>Weighted average no. of shares (million)</t>
  </si>
  <si>
    <t>摊薄后股数（百万股）</t>
  </si>
  <si>
    <t>EPS</t>
  </si>
  <si>
    <t>每股收益</t>
  </si>
  <si>
    <t>Interim DPS (CNY)</t>
  </si>
  <si>
    <t>半年每股分红（人民币）</t>
  </si>
  <si>
    <t>Final DPS (CNY)</t>
  </si>
  <si>
    <t>年终每股分红（人民币）</t>
  </si>
  <si>
    <t>Total DPS (CNY)</t>
  </si>
  <si>
    <t>每年总共分红（人民币）</t>
  </si>
  <si>
    <t>Total dividend (CNY)</t>
  </si>
  <si>
    <t>总共分红（人民币）</t>
  </si>
  <si>
    <t>Payout ratio (%)</t>
  </si>
  <si>
    <t>分红比例（%）</t>
  </si>
  <si>
    <t>Share price (CNY)</t>
  </si>
  <si>
    <t>人民币股价</t>
  </si>
  <si>
    <t>Dividend Yield</t>
  </si>
  <si>
    <t>股息率</t>
  </si>
  <si>
    <t>Market Cap (HKD)</t>
  </si>
  <si>
    <t>P/E</t>
  </si>
  <si>
    <t>市盈率</t>
  </si>
  <si>
    <t>Cash Flow Statement</t>
  </si>
  <si>
    <t>现金流报表</t>
  </si>
  <si>
    <t>Operating activities</t>
  </si>
  <si>
    <t>經營活動</t>
  </si>
  <si>
    <t>Changes in working capital:</t>
  </si>
  <si>
    <t>营运资本变动:</t>
  </si>
  <si>
    <t>Other adjustments</t>
  </si>
  <si>
    <t>Net cash (used in)/generated from operating activities</t>
  </si>
  <si>
    <t>經營活動(所用)╱所得現金淨額</t>
  </si>
  <si>
    <t>Investing activities</t>
  </si>
  <si>
    <t>投資活動</t>
  </si>
  <si>
    <t>Capex investments:</t>
  </si>
  <si>
    <t>投资性支出:</t>
  </si>
  <si>
    <t>Purchases of property, plant and equipment</t>
  </si>
  <si>
    <t>购置固定资产</t>
  </si>
  <si>
    <t>Purchases of intangible assets</t>
  </si>
  <si>
    <t>购置无形资产</t>
  </si>
  <si>
    <t>Net proceeds from disposal of PPE</t>
  </si>
  <si>
    <t>处置固定资产净收益</t>
  </si>
  <si>
    <t>Dividends received from joint ventures</t>
  </si>
  <si>
    <t>收到联营公司股息</t>
  </si>
  <si>
    <t>Dividends received from associates</t>
  </si>
  <si>
    <t>收到合营公司股息</t>
  </si>
  <si>
    <t>Financial investments</t>
  </si>
  <si>
    <t>金融投资</t>
  </si>
  <si>
    <t>Other investments</t>
  </si>
  <si>
    <t>其他投资</t>
  </si>
  <si>
    <t>Net cash used in investing activities</t>
  </si>
  <si>
    <t>投資活動所用現金淨額</t>
  </si>
  <si>
    <t>Financing activities</t>
  </si>
  <si>
    <t>融資活動</t>
  </si>
  <si>
    <t>Proceeds from debt borrowings, net</t>
  </si>
  <si>
    <t>借款所得净额</t>
  </si>
  <si>
    <t>Proceeds from equity financing, net</t>
  </si>
  <si>
    <t>股权融资所得净额</t>
  </si>
  <si>
    <t>Dividends to shareholders</t>
  </si>
  <si>
    <t>向股东派发股息</t>
  </si>
  <si>
    <t>Dividends to non-controlling interest</t>
  </si>
  <si>
    <t>向非控股权益派发股息</t>
  </si>
  <si>
    <t>Others</t>
  </si>
  <si>
    <t>其他</t>
  </si>
  <si>
    <t>Net cash used in financing activities</t>
  </si>
  <si>
    <t>融資活動所用現金淨額</t>
  </si>
  <si>
    <t>Net decrease in cash and cash equivalents</t>
  </si>
  <si>
    <t>現金及現金等價物減少淨額</t>
  </si>
  <si>
    <t>Cash and cash equivalents at 1 January</t>
  </si>
  <si>
    <t>於一月一日之現金及現金等價物</t>
  </si>
  <si>
    <t>Effect of foreign exchange rate changes</t>
  </si>
  <si>
    <t>匯率變動的影響</t>
  </si>
  <si>
    <t>Ending cash</t>
  </si>
  <si>
    <t>最终现金</t>
  </si>
  <si>
    <t>Balance Sheet</t>
  </si>
  <si>
    <t>资产负债表</t>
  </si>
  <si>
    <t>Non-current assets</t>
  </si>
  <si>
    <t>非流動資產</t>
  </si>
  <si>
    <t>Goodwill</t>
  </si>
  <si>
    <t>Total non-current assets</t>
  </si>
  <si>
    <t>非流動資產总计</t>
  </si>
  <si>
    <t>Current assets</t>
  </si>
  <si>
    <t>流動資產</t>
  </si>
  <si>
    <t>Inventories</t>
  </si>
  <si>
    <t>Total current assets</t>
  </si>
  <si>
    <t>流動資產总计</t>
  </si>
  <si>
    <t>Current liabilities</t>
  </si>
  <si>
    <t>流動負債</t>
  </si>
  <si>
    <t>Other payables</t>
  </si>
  <si>
    <t>Total current liabilities</t>
  </si>
  <si>
    <t>流動負債总计</t>
  </si>
  <si>
    <t>Non-current liabilities</t>
  </si>
  <si>
    <t>非流動負債</t>
  </si>
  <si>
    <t>Lease liabilities</t>
  </si>
  <si>
    <t>Deferred tax liabilities</t>
  </si>
  <si>
    <t>Total non-current liabilities</t>
  </si>
  <si>
    <t>非流動負債总计</t>
  </si>
  <si>
    <t>Capital and reserves</t>
  </si>
  <si>
    <t>股本及儲備</t>
  </si>
  <si>
    <t xml:space="preserve">Share capital </t>
  </si>
  <si>
    <t>Undistributed profit</t>
  </si>
  <si>
    <t>Total equity attributable to equity shareholders</t>
  </si>
  <si>
    <t>公司權益人應佔權益總額</t>
  </si>
  <si>
    <t>Total equity</t>
  </si>
  <si>
    <t>權益總額</t>
  </si>
  <si>
    <t>Check sum</t>
  </si>
  <si>
    <t>Assumptions</t>
  </si>
  <si>
    <t>Working capital</t>
  </si>
  <si>
    <t>营运资本</t>
  </si>
  <si>
    <t>Trade receivable days</t>
  </si>
  <si>
    <t>Inventories days</t>
  </si>
  <si>
    <t>Trade payable days</t>
  </si>
  <si>
    <t>Fixed assets schedule</t>
  </si>
  <si>
    <t>Beginning balance</t>
  </si>
  <si>
    <t>Ending balance</t>
  </si>
  <si>
    <t>Total original carrying value</t>
  </si>
  <si>
    <t>Increase for the period:</t>
  </si>
  <si>
    <t>Decrease for the period:</t>
  </si>
  <si>
    <t>Disposal or scrapping</t>
  </si>
  <si>
    <t>Disposal of subsidiary</t>
  </si>
  <si>
    <t>Accumulated depreciation</t>
  </si>
  <si>
    <t>PPE book value</t>
  </si>
  <si>
    <t>Depreciation of PPE</t>
  </si>
  <si>
    <t>Amortization of intangible assets</t>
  </si>
  <si>
    <t>Amortization of right-of-use assets</t>
  </si>
  <si>
    <t>Total depreciation &amp; amortization:</t>
  </si>
  <si>
    <t>Purchase (Capex spending)</t>
  </si>
  <si>
    <t>Provisions for the period (Depreciation)</t>
  </si>
  <si>
    <t>Selling and distribution expenses</t>
  </si>
  <si>
    <t>EBITDA</t>
  </si>
  <si>
    <t>EBITDA margin %</t>
  </si>
  <si>
    <t>Depreciation</t>
  </si>
  <si>
    <t>PPE</t>
  </si>
  <si>
    <t>Investment properties</t>
  </si>
  <si>
    <t>Right-of-use assets</t>
  </si>
  <si>
    <t>Amortisation of other intangible assets</t>
  </si>
  <si>
    <t>Deferred tax assets</t>
  </si>
  <si>
    <t>Trade and notes receivables</t>
  </si>
  <si>
    <t>Prepayments, other receivables and other assets</t>
  </si>
  <si>
    <t>Cash and cash equivalents</t>
  </si>
  <si>
    <t>Trade and bills payables</t>
  </si>
  <si>
    <t>Other payables and accruals</t>
  </si>
  <si>
    <t>Other impact</t>
  </si>
  <si>
    <t>Depreciation rate %</t>
  </si>
  <si>
    <t>Right-of-use asset schedule</t>
  </si>
  <si>
    <t>Addition</t>
  </si>
  <si>
    <t>Intangible asset schedule</t>
  </si>
  <si>
    <t>Addition, net</t>
  </si>
  <si>
    <t>单位</t>
  </si>
  <si>
    <t>负债率</t>
  </si>
  <si>
    <r>
      <t xml:space="preserve">EBITDA </t>
    </r>
    <r>
      <rPr>
        <sz val="11"/>
        <color theme="1" tint="0.499984740745262"/>
        <rFont val="KaiTi"/>
        <family val="3"/>
      </rPr>
      <t>利润率</t>
    </r>
    <r>
      <rPr>
        <sz val="11"/>
        <color theme="1" tint="0.499984740745262"/>
        <rFont val="Calibri"/>
        <family val="2"/>
      </rPr>
      <t xml:space="preserve"> %</t>
    </r>
  </si>
  <si>
    <t>折旧</t>
  </si>
  <si>
    <t>固定资产</t>
  </si>
  <si>
    <t>使用权资产</t>
  </si>
  <si>
    <t>其他无形资产摊销</t>
  </si>
  <si>
    <t>营业收入</t>
  </si>
  <si>
    <t>1Q26</t>
  </si>
  <si>
    <t>1Q25</t>
  </si>
  <si>
    <t>营业成本</t>
  </si>
  <si>
    <t>税金及附加</t>
  </si>
  <si>
    <t>销售费用</t>
  </si>
  <si>
    <t>管理费用</t>
  </si>
  <si>
    <t>研发费用</t>
  </si>
  <si>
    <t>其他收益</t>
  </si>
  <si>
    <t>净营业外收入</t>
  </si>
  <si>
    <t>Non-operating income, net</t>
  </si>
  <si>
    <t>R&amp;D expenses</t>
  </si>
  <si>
    <t>Other income</t>
  </si>
  <si>
    <t>Tax expense &amp; others</t>
  </si>
  <si>
    <t>Finance income, net</t>
  </si>
  <si>
    <t>财务收入（费用）</t>
  </si>
  <si>
    <t>人民币市值</t>
  </si>
  <si>
    <t>Average</t>
  </si>
  <si>
    <t>重点</t>
  </si>
  <si>
    <t>亿元</t>
  </si>
  <si>
    <t>合计</t>
  </si>
  <si>
    <t>%</t>
  </si>
  <si>
    <t>2Q26</t>
  </si>
  <si>
    <t>3Q26</t>
  </si>
  <si>
    <t>销量</t>
  </si>
  <si>
    <t>销量增长</t>
  </si>
  <si>
    <t>合计增长</t>
  </si>
  <si>
    <t>万台</t>
  </si>
  <si>
    <t>2025A</t>
  </si>
  <si>
    <t>2024A</t>
  </si>
  <si>
    <t>2023A</t>
  </si>
  <si>
    <t>2022A</t>
  </si>
  <si>
    <t>2026E</t>
  </si>
  <si>
    <t>2027E</t>
  </si>
  <si>
    <t>2028E</t>
  </si>
  <si>
    <t>毛利率</t>
  </si>
  <si>
    <t>交易性金融资产</t>
  </si>
  <si>
    <t>应收票据</t>
  </si>
  <si>
    <t>应收账款</t>
  </si>
  <si>
    <t>应收款项融资</t>
  </si>
  <si>
    <t>预付款项</t>
  </si>
  <si>
    <t>其他应收款</t>
  </si>
  <si>
    <t>存货</t>
  </si>
  <si>
    <t>合同资产</t>
  </si>
  <si>
    <t>其他流动资产</t>
  </si>
  <si>
    <t>持有待售资产</t>
  </si>
  <si>
    <t>Notes receivable</t>
  </si>
  <si>
    <t>Accounts receivable</t>
  </si>
  <si>
    <t>Receivables financing</t>
  </si>
  <si>
    <t>Prepayments</t>
  </si>
  <si>
    <t>Other receivables</t>
  </si>
  <si>
    <t>Contract assets</t>
  </si>
  <si>
    <t>Assets held for sale</t>
  </si>
  <si>
    <t>Other current assets</t>
  </si>
  <si>
    <t>Financial assets held for trading</t>
  </si>
  <si>
    <t>Long-term equity investments</t>
  </si>
  <si>
    <t>长期股权投资</t>
  </si>
  <si>
    <t>Other non-current financial assets</t>
  </si>
  <si>
    <t>其他非流动金融资产</t>
  </si>
  <si>
    <t>投资性房地产</t>
  </si>
  <si>
    <t>Fixed assets</t>
  </si>
  <si>
    <t>Construction in progress</t>
  </si>
  <si>
    <t>在建工程</t>
  </si>
  <si>
    <t>Intangible assets</t>
  </si>
  <si>
    <t>无形资产</t>
  </si>
  <si>
    <t>Development expenditure</t>
  </si>
  <si>
    <t>开发支出</t>
  </si>
  <si>
    <t>商誉</t>
  </si>
  <si>
    <t>Long-term prepaid expenses</t>
  </si>
  <si>
    <t>长期待摊费用</t>
  </si>
  <si>
    <t>递延所得税资产</t>
  </si>
  <si>
    <t>Other non-current assets</t>
  </si>
  <si>
    <t>其他非流动资产</t>
  </si>
  <si>
    <t>Short-term borrowings</t>
  </si>
  <si>
    <t>短期借款</t>
  </si>
  <si>
    <t>Notes payable</t>
  </si>
  <si>
    <t>应付票据</t>
  </si>
  <si>
    <t>Accounts payable</t>
  </si>
  <si>
    <t>应付账款</t>
  </si>
  <si>
    <t>Contract liabilities</t>
  </si>
  <si>
    <t>合同负债</t>
  </si>
  <si>
    <t>Employee benefits payable</t>
  </si>
  <si>
    <t>应付职工薪酬</t>
  </si>
  <si>
    <t>Taxes payable</t>
  </si>
  <si>
    <t>应交税费</t>
  </si>
  <si>
    <t>其他应付款</t>
  </si>
  <si>
    <t>Liabilities held for sale</t>
  </si>
  <si>
    <t>持有待售负债</t>
  </si>
  <si>
    <t>Current portion of non-current liabilities</t>
  </si>
  <si>
    <t>一年内到期的非流动负债</t>
  </si>
  <si>
    <t>Other current liabilities</t>
  </si>
  <si>
    <t>其他流动负债</t>
  </si>
  <si>
    <t>Long-term borrowings</t>
  </si>
  <si>
    <t>长期借款</t>
  </si>
  <si>
    <t>Bonds payable</t>
  </si>
  <si>
    <t>应付债券</t>
  </si>
  <si>
    <t>租赁负债</t>
  </si>
  <si>
    <t>Provisions</t>
  </si>
  <si>
    <t>预计负债</t>
  </si>
  <si>
    <t>Deferred income</t>
  </si>
  <si>
    <t>递延收益</t>
  </si>
  <si>
    <t>递延所得税负债</t>
  </si>
  <si>
    <t>Capital reserve</t>
  </si>
  <si>
    <t>资本公积</t>
  </si>
  <si>
    <t>Less: Treasury stock</t>
  </si>
  <si>
    <t>减：库存股</t>
  </si>
  <si>
    <t>Other comprehensive income</t>
  </si>
  <si>
    <t>其他综合收益</t>
  </si>
  <si>
    <t>Surplus reserve</t>
  </si>
  <si>
    <t>盈余公积</t>
  </si>
  <si>
    <t>未分配利润</t>
  </si>
  <si>
    <t>实收资本（或股本）</t>
  </si>
  <si>
    <t>Change in inventories</t>
  </si>
  <si>
    <t>折旧及摊销合计</t>
  </si>
  <si>
    <t>固定资产折旧</t>
  </si>
  <si>
    <t>使用权资产摊销</t>
  </si>
  <si>
    <t>无形资产摊销</t>
  </si>
  <si>
    <t>存货变动</t>
  </si>
  <si>
    <t>其他调整</t>
  </si>
  <si>
    <t>现金及现金等价物</t>
  </si>
  <si>
    <t>Restricted cash</t>
  </si>
  <si>
    <t>使用受限的货币资金</t>
  </si>
  <si>
    <t>Change in operating receivables</t>
  </si>
  <si>
    <t>经营性应收项目变动</t>
  </si>
  <si>
    <t>Change in operating payables</t>
  </si>
  <si>
    <t>经营性应付项目变动</t>
  </si>
  <si>
    <t>Other additions (transfers, FX)</t>
  </si>
  <si>
    <t>其他增加（转入、汇差）</t>
  </si>
  <si>
    <t>Less: Impairment provision</t>
  </si>
  <si>
    <t>减值准备</t>
  </si>
  <si>
    <t>应收账款及应收票据</t>
  </si>
  <si>
    <t>应收账款周转天数</t>
  </si>
  <si>
    <t>预付款项、其他应收款及其他资产</t>
  </si>
  <si>
    <t>占营业收入比例</t>
  </si>
  <si>
    <t>存货周转天数</t>
  </si>
  <si>
    <t>应付账款及应付票据</t>
  </si>
  <si>
    <t>应付账款周转天数</t>
  </si>
  <si>
    <t>其他应付款及预提费用</t>
  </si>
  <si>
    <t>固定资产明细表</t>
  </si>
  <si>
    <t>账面原值</t>
  </si>
  <si>
    <t>期初余额</t>
  </si>
  <si>
    <t>本期增加：</t>
  </si>
  <si>
    <t>购置及在建工程转入（资本开支）</t>
  </si>
  <si>
    <t>本期减少：</t>
  </si>
  <si>
    <t>处置或报废</t>
  </si>
  <si>
    <t>处置子公司及其他</t>
  </si>
  <si>
    <t>期末余额</t>
  </si>
  <si>
    <t>累计折旧</t>
  </si>
  <si>
    <t>本期计提（折旧）</t>
  </si>
  <si>
    <t>折旧率 %</t>
  </si>
  <si>
    <t>其他影响</t>
  </si>
  <si>
    <t>固定资产账面价值</t>
  </si>
  <si>
    <t>使用权资产明细表</t>
  </si>
  <si>
    <t>本期增加</t>
  </si>
  <si>
    <t>本期折旧</t>
  </si>
  <si>
    <t>无形资产明细表</t>
  </si>
  <si>
    <t>本期增加（净额）</t>
  </si>
  <si>
    <t>本期摊销</t>
  </si>
  <si>
    <t>摊销率 %</t>
  </si>
  <si>
    <t>Net finance income</t>
  </si>
  <si>
    <t>财务收入（净额）</t>
  </si>
  <si>
    <t>Interest income</t>
  </si>
  <si>
    <t>利息收入</t>
  </si>
  <si>
    <t>Interest income yield %</t>
  </si>
  <si>
    <t>利息收益率 %</t>
  </si>
  <si>
    <t>Interest expense</t>
  </si>
  <si>
    <t>利息费用</t>
  </si>
  <si>
    <t>FX (loss)/gain &amp; other, net</t>
  </si>
  <si>
    <t>汇兑损失及其他（净额）</t>
  </si>
  <si>
    <t>Opening monetary funds (incl. restricted)</t>
  </si>
  <si>
    <t>期初货币资金（含受限）</t>
  </si>
  <si>
    <t>Total debt (year-end)</t>
  </si>
  <si>
    <t>总债务（期末）</t>
  </si>
  <si>
    <t>Cost of debt %</t>
  </si>
  <si>
    <t>债务成本率 %</t>
  </si>
  <si>
    <t>2Q25</t>
  </si>
  <si>
    <t>3Q25</t>
  </si>
  <si>
    <t>4Q25</t>
  </si>
  <si>
    <t>1H25</t>
  </si>
  <si>
    <t>1H26</t>
  </si>
  <si>
    <t>9M25</t>
  </si>
  <si>
    <t>9M26</t>
  </si>
  <si>
    <t>整体</t>
  </si>
  <si>
    <t>台</t>
  </si>
  <si>
    <t xml:space="preserve">  同比</t>
  </si>
  <si>
    <t>出口</t>
  </si>
  <si>
    <t>内销</t>
  </si>
  <si>
    <t>出口占比</t>
  </si>
  <si>
    <t>来源</t>
  </si>
  <si>
    <t>4Q26E</t>
  </si>
  <si>
    <t>1Q26A</t>
  </si>
  <si>
    <t>2Q26A</t>
  </si>
  <si>
    <t>3Q26A</t>
  </si>
  <si>
    <t>归母净利润</t>
  </si>
  <si>
    <t>#</t>
  </si>
  <si>
    <t>主题</t>
  </si>
  <si>
    <t>问题</t>
  </si>
  <si>
    <t>模型当前假设</t>
  </si>
  <si>
    <t>怎么解读答案 → 调整哪个假设</t>
  </si>
  <si>
    <t>回答记录</t>
  </si>
  <si>
    <t>一、为什么投资</t>
  </si>
  <si>
    <t>二、目标价与上涨空间</t>
  </si>
  <si>
    <t>数值</t>
  </si>
  <si>
    <t>说明</t>
  </si>
  <si>
    <t>当前股价（元）</t>
  </si>
  <si>
    <t>2026E EPS（元）</t>
  </si>
  <si>
    <t>2027E EPS（元）</t>
  </si>
  <si>
    <t>目标P/E（2027E）</t>
  </si>
  <si>
    <t>目标价（元）</t>
  </si>
  <si>
    <t>目标P/E × 2027E EPS</t>
  </si>
  <si>
    <t>上涨空间</t>
  </si>
  <si>
    <t>目标价 / 现价 − 1</t>
  </si>
  <si>
    <t>2026E 每股分红（元）</t>
  </si>
  <si>
    <t>2026E 股息率</t>
  </si>
  <si>
    <t>2027E 每股分红（元）</t>
  </si>
  <si>
    <t>2027E 股息率</t>
  </si>
  <si>
    <t>总回报（上涨空间 + 2026E股息率）</t>
  </si>
  <si>
    <t>当前P/E 2026E</t>
  </si>
  <si>
    <t>当前P/E 2027E</t>
  </si>
  <si>
    <t>参考：同业P/E 2026E（现价）</t>
  </si>
  <si>
    <t>参考：同业P/E 2027E（现价）</t>
  </si>
  <si>
    <t>参考：一致预期目标价（元）</t>
  </si>
  <si>
    <t>参考：一致预期归母2026E（亿元）</t>
  </si>
  <si>
    <t>参考：模型归母2026E（亿元）</t>
  </si>
  <si>
    <t>参考：一致预期归母2027E（亿元）</t>
  </si>
  <si>
    <t>参考：模型归母2027E（亿元）</t>
  </si>
  <si>
    <t>参考：按一致预期EPS的目标价（元）</t>
  </si>
  <si>
    <t>目标P/E × 一致预期2027E EPS</t>
  </si>
  <si>
    <t>三、什么会证伪我们的逻辑</t>
  </si>
  <si>
    <t>3Q25A</t>
  </si>
  <si>
    <t>4Q25A</t>
  </si>
  <si>
    <t>期间费用（税金+销售+管理+研发）</t>
  </si>
  <si>
    <t>期间费用率</t>
  </si>
  <si>
    <t>1Q25A</t>
  </si>
  <si>
    <t>2Q25A</t>
  </si>
  <si>
    <t>月份</t>
  </si>
  <si>
    <t>股价（元）</t>
  </si>
  <si>
    <t>前瞻EPS（元）</t>
  </si>
  <si>
    <t>口径</t>
  </si>
  <si>
    <t>前瞻P/E</t>
  </si>
  <si>
    <t>P/E（一致预期口径）</t>
  </si>
  <si>
    <t>P/E（实际口径，参考）</t>
  </si>
  <si>
    <t>均值</t>
  </si>
  <si>
    <t>+1SD</t>
  </si>
  <si>
    <t>−1SD</t>
  </si>
  <si>
    <t>+2SD</t>
  </si>
  <si>
    <t>−2SD</t>
  </si>
  <si>
    <t>统计区间（一致预期口径月份数）</t>
  </si>
  <si>
    <t>标准差（SD）</t>
  </si>
  <si>
    <t>现价（元）</t>
  </si>
  <si>
    <t>一致预期NTM EPS（元）</t>
  </si>
  <si>
    <t>模型NTM EPS（元）</t>
  </si>
  <si>
    <t>= 4Q26E EPS × 2/3 + 2027E EPS × 10/12（2026年11月–2027年10月）</t>
  </si>
  <si>
    <t>前瞻P/E：一致预期口径</t>
  </si>
  <si>
    <t>前瞻P/E：模型口径</t>
  </si>
  <si>
    <t>位置：一致预期口径（SD）</t>
  </si>
  <si>
    <t>0 = 均值；+1 = +1SD</t>
  </si>
  <si>
    <t>位置：模型口径（SD）</t>
  </si>
  <si>
    <t>参考：5年全部月份（含实际口径）</t>
  </si>
  <si>
    <t>SD</t>
  </si>
  <si>
    <t>月份数</t>
  </si>
  <si>
    <t>四、历史估值：5年前瞻P/E区间</t>
  </si>
  <si>
    <t>均值 / 标准差</t>
  </si>
  <si>
    <t>−2SD / −1SD / +1SD / +2SD</t>
  </si>
  <si>
    <t>现价前瞻P/E：一致预期EPS</t>
  </si>
  <si>
    <t>现价前瞻P/E：模型EPS</t>
  </si>
  <si>
    <t>均值P/E × 模型NTM EPS（元）</t>
  </si>
  <si>
    <t>历史均值估值对应股价</t>
  </si>
  <si>
    <t>+1SD P/E × 模型NTM EPS（元）</t>
  </si>
  <si>
    <t>均值P/E × 一致预期NTM EPS（元）</t>
  </si>
  <si>
    <t>若一致预期盈利兑现</t>
  </si>
  <si>
    <t>P/E（模型EPS，仅现价）</t>
  </si>
  <si>
    <t>营业成本合计</t>
  </si>
  <si>
    <t>归母净利润增长</t>
  </si>
  <si>
    <t>同业1</t>
  </si>
  <si>
    <t>同业2</t>
  </si>
  <si>
    <t>同业3</t>
  </si>
  <si>
    <t>收入预测（亿元）</t>
  </si>
  <si>
    <t>收入拆分</t>
  </si>
  <si>
    <t>业务A</t>
  </si>
  <si>
    <t>来源：&lt;年报/半年报分部收入；季度来自纪要或卖方拆分&gt;（实际为蓝色）</t>
  </si>
  <si>
    <t>业务A增长</t>
  </si>
  <si>
    <t>来源：&lt;指引/纪要/调研/原模型假设&gt;（原话或数字）；&lt;如何设定&gt;</t>
  </si>
  <si>
    <t>业务B</t>
  </si>
  <si>
    <t>业务B增长</t>
  </si>
  <si>
    <t>业务C</t>
  </si>
  <si>
    <t>业务C增长</t>
  </si>
  <si>
    <t>其他业务（倒算）</t>
  </si>
  <si>
    <t>计算：历史 = 合计 − 分项；预测按增长假设</t>
  </si>
  <si>
    <t>其他业务增长</t>
  </si>
  <si>
    <t>来源：&lt;假设&gt;</t>
  </si>
  <si>
    <t>计算：历史链接3S营业收入；预测 = 分项加总 → 3S</t>
  </si>
  <si>
    <t>量价拆分（业务A，可按业务复制）</t>
  </si>
  <si>
    <t>来源：Data页 / 年报销量</t>
  </si>
  <si>
    <t>来源：&lt;指引/行业数据&gt;</t>
  </si>
  <si>
    <t>单价</t>
  </si>
  <si>
    <t>万元/台</t>
  </si>
  <si>
    <t>计算：收入 ÷ 销量；预测按单价增长</t>
  </si>
  <si>
    <t>单价增长</t>
  </si>
  <si>
    <t>来源：&lt;提价/结构&gt;</t>
  </si>
  <si>
    <t>来源：&lt;分部收入&gt;；2027E起 = 销量 × 单价（第16–19行）</t>
  </si>
  <si>
    <t>业务A毛利率</t>
  </si>
  <si>
    <t>来源：&lt;年报分部毛利率&gt;；预测：&lt;管理层说法&gt;</t>
  </si>
  <si>
    <t>业务B毛利率</t>
  </si>
  <si>
    <t>业务C毛利率</t>
  </si>
  <si>
    <t>其他毛利率</t>
  </si>
  <si>
    <t>合计毛利率</t>
  </si>
  <si>
    <t>业务A毛利</t>
  </si>
  <si>
    <t>业务B毛利</t>
  </si>
  <si>
    <t>业务C毛利</t>
  </si>
  <si>
    <t>其他毛利</t>
  </si>
  <si>
    <t>合计毛利</t>
  </si>
  <si>
    <t>计算：历史/季度链接3S毛利；预测 = 分项加总；4Q E = 全年 − 前三季度</t>
  </si>
  <si>
    <t>差额（实际 − 分项）</t>
  </si>
  <si>
    <t>计算：历史校准，应接近0</t>
  </si>
  <si>
    <t>计算：收入 − 毛利 → 3S营业成本</t>
  </si>
  <si>
    <t>利润推测</t>
  </si>
  <si>
    <t>计算：链接3S</t>
  </si>
  <si>
    <t>参考：一致预期收入</t>
  </si>
  <si>
    <t>来源：FactSet consensus_fixed（日期、家数）</t>
  </si>
  <si>
    <t>参考：一致预期归母净利润</t>
  </si>
  <si>
    <t>来源：FactSet consensus_fixed（日期、家数）；一致预期全年 − 前三季度 = 隐含四季度</t>
  </si>
  <si>
    <t>&lt;公司&gt;｜销量数据（月度加总）</t>
  </si>
  <si>
    <t>来源：&lt;月度跟踪表/券商数据库/公司公告&gt;。季度、年度 = 月度加总；蓝字 = 源数据，黑字 = 公式，灰字 = 同比/占比。只放销量，不放收入和价格。</t>
  </si>
  <si>
    <t>一、公司销量</t>
  </si>
  <si>
    <t>二、行业</t>
  </si>
  <si>
    <t>行业整体</t>
  </si>
  <si>
    <t>公司份额</t>
  </si>
  <si>
    <t>&lt;公司&gt; &lt;期间&gt; 交流核心指引（YYYY-MM-DD）</t>
  </si>
  <si>
    <t>来源：&lt;纪要文件名&gt;（纪要MMDD）；同场多份纪要逐条注明出处；数字核对公司公告</t>
  </si>
  <si>
    <t>&lt;板块：销量 / 毛利率 / 费用 / 分红 / 明年展望&gt;</t>
  </si>
  <si>
    <t>1. &lt;一句话一条指引，带数字和管理层原话的限定词&gt;</t>
  </si>
  <si>
    <t>纪要MMDD</t>
  </si>
  <si>
    <t>&lt;公司&gt;｜管理层问题（&lt;期间&gt;后，YYYY-MM-DD）</t>
  </si>
  <si>
    <t>筛选：已剔除&lt;纪要日期&gt;交流已回答的问题（&lt;列出&gt;）；按对下一年利润的影响排序；问方向/对比，不问具体数字。</t>
  </si>
  <si>
    <t>&lt;一句口语化的问题，最多两问&gt;</t>
  </si>
  <si>
    <t>&lt;模型当前数字，及卖方数字&gt;</t>
  </si>
  <si>
    <t>&lt;回答A → 维持；回答B → 调整第X行，约±X亿&gt;</t>
  </si>
  <si>
    <t>&lt;公司&gt;（&lt;代码&gt;）｜投资逻辑</t>
  </si>
  <si>
    <t>数字均链接3S / Revenue Projection；股价为FactSet &lt;日期&gt;收盘；紫色 = 可改输入。</t>
  </si>
  <si>
    <t>1. &lt;驱动因素 + 模型中的数字&gt;</t>
  </si>
  <si>
    <t>2. &lt;驱动因素 + 模型中的数字&gt;</t>
  </si>
  <si>
    <t>3. &lt;驱动因素 + 模型中的数字&gt;</t>
  </si>
  <si>
    <t>4. &lt;驱动因素 + 模型中的数字&gt;</t>
  </si>
  <si>
    <t>5. &lt;驱动因素 + 模型中的数字&gt;</t>
  </si>
  <si>
    <t>1. &lt;可观察指标&gt;低于/高于&lt;阈值&gt; → &lt;对模型的影响，约±X亿&gt;</t>
  </si>
  <si>
    <t>2. &lt;可观察指标&gt;低于/高于&lt;阈值&gt; → &lt;对模型的影响，约±X亿&gt;</t>
  </si>
  <si>
    <t>3. &lt;可观察指标&gt;低于/高于&lt;阈值&gt; → &lt;对模型的影响，约±X亿&gt;</t>
  </si>
  <si>
    <t>4. &lt;可观察指标&gt;低于/高于&lt;阈值&gt; → &lt;对模型的影响，约±X亿&gt;</t>
  </si>
  <si>
    <t>5. &lt;可观察指标&gt;低于/高于&lt;阈值&gt; → &lt;对模型的影响，约±X亿&gt;</t>
  </si>
  <si>
    <t>FactSet &lt;日期&gt;收盘</t>
  </si>
  <si>
    <t>3S：前三季度实际 + 4Q E</t>
  </si>
  <si>
    <t>3S 下一年E</t>
  </si>
  <si>
    <t>默认 = 3S同业平均P/E（第61行）；可手填倍数</t>
  </si>
  <si>
    <t>管理层分红指引，或EPS × 分红率（3S第50行）</t>
  </si>
  <si>
    <t>3S第50行分红率</t>
  </si>
  <si>
    <t>链接3S第61行（现价 ÷ FactSet一致预期EPS）</t>
  </si>
  <si>
    <t>链接3S第61行</t>
  </si>
  <si>
    <t>FactSet均值，区间&lt;低–高&gt;</t>
  </si>
  <si>
    <t>&lt;家数&gt;；最近修改日期；隐含剩余季度</t>
  </si>
  <si>
    <t>FactSet一致预期口径月份（注明缺口和单家预测的月份）</t>
  </si>
  <si>
    <t>图：前瞻P/E = 月末股价 ÷ FactSet一致预期NTM EPS；均值和SD只用一致预期口径月份，灰色虚线为实际EPS口径</t>
  </si>
  <si>
    <t>&lt;公司&gt;｜5年前瞻市盈率区间（月度）</t>
  </si>
  <si>
    <t>来源：FactSet月末收盘价；前瞻EPS = FactSet一致预期NTM EPS（有覆盖的月份），无覆盖月份用实际未来12个月EPS（季度EPS按月摊）</t>
  </si>
  <si>
    <t>&lt;日期&gt;收盘</t>
  </si>
  <si>
    <t>FactSet &lt;月份&gt;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</si>
</sst>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#,##0;\(#,##0\)"/>
    <numFmt numFmtId="167" formatCode="#,##0.00;\(#,##0.00\)"/>
    <numFmt numFmtId="168" formatCode="_(* #,##0.000_);_(* \(#,##0.000\);_(* &quot;-&quot;??_);_(@_)"/>
    <numFmt numFmtId="169" formatCode="_(* #,##0_);_(* \(#,##0\);_(* &quot;-&quot;??_);_(@_)"/>
    <numFmt numFmtId="177" formatCode="0.0&quot;x&quot;"/>
    <numFmt numFmtId="178" formatCode="0.000"/>
    <numFmt numFmtId="179" formatCode="\+0.0;\-0.0"/>
    <numFmt numFmtId="180" formatCode="0.0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KaiTi"/>
      <family val="3"/>
    </font>
    <font>
      <sz val="11"/>
      <color theme="0"/>
      <name val="KaiTi"/>
      <family val="3"/>
    </font>
    <font>
      <b/>
      <sz val="13"/>
      <color theme="4"/>
      <name val="Calibri"/>
      <family val="2"/>
    </font>
    <font>
      <b/>
      <sz val="13"/>
      <color theme="4"/>
      <name val="KaiTi"/>
      <family val="3"/>
    </font>
    <font>
      <b/>
      <sz val="11"/>
      <color theme="1"/>
      <name val="Calibri"/>
      <family val="2"/>
    </font>
    <font>
      <b/>
      <sz val="11"/>
      <color theme="1"/>
      <name val="KaiTi"/>
      <family val="3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KaiTi"/>
      <family val="3"/>
    </font>
    <font>
      <i/>
      <sz val="11"/>
      <color theme="1" tint="0.499984740745262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7030A0"/>
      <name val="Calibri"/>
      <family val="2"/>
    </font>
    <font>
      <b/>
      <sz val="11"/>
      <color rgb="FF7030A0"/>
      <name val="Calibri"/>
      <family val="2"/>
    </font>
    <font>
      <sz val="11"/>
      <color theme="1"/>
      <name val="KaiTi"/>
      <family val="3"/>
    </font>
    <font>
      <sz val="11"/>
      <color theme="4" tint="0.39997558519241921"/>
      <name val="Calibri"/>
      <family val="2"/>
    </font>
    <font>
      <sz val="11"/>
      <name val="Calibri"/>
      <family val="2"/>
    </font>
    <font>
      <sz val="11"/>
      <color rgb="FF7030A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KaiTi"/>
      <family val="3"/>
    </font>
    <font>
      <sz val="11"/>
      <color theme="8"/>
      <name val="Calibri"/>
      <family val="2"/>
    </font>
    <font>
      <b/>
      <sz val="11"/>
      <color theme="8"/>
      <name val="Calibri"/>
      <family val="2"/>
    </font>
    <font>
      <i/>
      <sz val="11"/>
      <color theme="1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rgb="FF0070C0"/>
      <name val="KaiTi"/>
      <family val="3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3"/>
      <color rgb="FF0070C0"/>
      <name val="Calibri"/>
      <family val="2"/>
    </font>
    <font>
      <b/>
      <sz val="13"/>
      <color rgb="FF0070C0"/>
      <name val="KaiTi"/>
      <family val="3"/>
    </font>
    <font>
      <sz val="8"/>
      <name val="Arial"/>
      <family val="2"/>
    </font>
    <font>
      <sz val="10"/>
      <name val="Arial"/>
      <family val="2"/>
    </font>
    <font>
      <b/>
      <sz val="10"/>
      <name val="KaiTi"/>
      <family val="3"/>
    </font>
    <font>
      <sz val="10"/>
      <name val="KaiTi"/>
      <family val="3"/>
    </font>
    <font>
      <sz val="11"/>
      <color rgb="FFFF0000"/>
      <name val="KaiTi"/>
      <family val="3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3"/>
      <name val="KaiTi"/>
      <family val="3"/>
    </font>
    <font>
      <sz val="11"/>
      <color rgb="FF000000"/>
      <name val="Calibri"/>
      <family val="2"/>
    </font>
    <font>
      <sz val="11"/>
      <name val="KaiTi"/>
      <family val="3"/>
    </font>
    <font>
      <sz val="10"/>
      <name val="Calibri"/>
      <family val="2"/>
    </font>
    <font>
      <b/>
      <sz val="10"/>
      <color rgb="FFFFFFFF"/>
      <name val="KaiTi"/>
      <family val="3"/>
    </font>
    <font>
      <sz val="10"/>
      <color rgb="FF808080"/>
      <name val="KaiTi"/>
      <family val="3"/>
    </font>
    <font>
      <sz val="10"/>
      <color rgb="FF808080"/>
      <name val="Calibri"/>
      <family val="2"/>
    </font>
    <font>
      <b/>
      <sz val="12"/>
      <name val="KaiTi"/>
      <family val="3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7030A0"/>
      <name val="Calibri"/>
      <family val="2"/>
    </font>
    <font>
      <b/>
      <sz val="10"/>
      <name val="Calibri"/>
      <family val="2"/>
    </font>
    <font>
      <sz val="10"/>
      <color rgb="FF0070C0"/>
      <name val="Calibri"/>
      <family val="2"/>
    </font>
    <font>
      <i/>
      <sz val="10"/>
      <color rgb="FFC5650B"/>
      <name val="Calibri"/>
      <family val="2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4FB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4DF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DFBF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0" borderId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2" fillId="0" borderId="0"/>
    <xf numFmtId="0" fontId="1" fillId="0" borderId="0"/>
  </cellStyleXfs>
  <cellXfs count="299">
    <xf numFmtId="0" fontId="0" fillId="0" borderId="0" xfId="0"/>
    <xf numFmtId="0" fontId="3" fillId="0" borderId="0" xfId="3"/>
    <xf numFmtId="0" fontId="8" fillId="3" borderId="0" xfId="3" applyFont="1" applyFill="1"/>
    <xf numFmtId="0" fontId="9" fillId="3" borderId="0" xfId="3" applyFont="1" applyFill="1"/>
    <xf numFmtId="0" fontId="8" fillId="3" borderId="0" xfId="3" applyFont="1" applyFill="1" applyAlignment="1">
      <alignment horizontal="right"/>
    </xf>
    <xf numFmtId="0" fontId="6" fillId="0" borderId="0" xfId="3" applyFont="1"/>
    <xf numFmtId="0" fontId="8" fillId="0" borderId="0" xfId="3" applyFont="1"/>
    <xf numFmtId="0" fontId="9" fillId="0" borderId="0" xfId="3" applyFont="1"/>
    <xf numFmtId="0" fontId="10" fillId="0" borderId="0" xfId="3" applyFont="1"/>
    <xf numFmtId="0" fontId="11" fillId="0" borderId="0" xfId="3" applyFont="1"/>
    <xf numFmtId="0" fontId="12" fillId="0" borderId="0" xfId="3" applyFont="1"/>
    <xf numFmtId="0" fontId="8" fillId="0" borderId="0" xfId="3" applyFont="1" applyAlignment="1">
      <alignment horizontal="right"/>
    </xf>
    <xf numFmtId="0" fontId="13" fillId="0" borderId="2" xfId="3" applyFont="1" applyBorder="1" applyAlignment="1">
      <alignment horizontal="left" indent="1"/>
    </xf>
    <xf numFmtId="0" fontId="14" fillId="0" borderId="2" xfId="3" applyFont="1" applyBorder="1" applyAlignment="1">
      <alignment horizontal="left" indent="1"/>
    </xf>
    <xf numFmtId="166" fontId="13" fillId="0" borderId="2" xfId="3" applyNumberFormat="1" applyFont="1" applyBorder="1"/>
    <xf numFmtId="0" fontId="7" fillId="0" borderId="0" xfId="3" applyFont="1"/>
    <xf numFmtId="0" fontId="16" fillId="0" borderId="0" xfId="3" applyFont="1"/>
    <xf numFmtId="0" fontId="17" fillId="0" borderId="0" xfId="3" applyFont="1" applyAlignment="1">
      <alignment horizontal="left" indent="3"/>
    </xf>
    <xf numFmtId="0" fontId="18" fillId="0" borderId="0" xfId="3" applyFont="1" applyAlignment="1">
      <alignment horizontal="left" indent="3"/>
    </xf>
    <xf numFmtId="164" fontId="19" fillId="0" borderId="0" xfId="5" applyNumberFormat="1" applyFont="1" applyFill="1" applyBorder="1" applyAlignment="1"/>
    <xf numFmtId="166" fontId="20" fillId="0" borderId="0" xfId="3" applyNumberFormat="1" applyFont="1"/>
    <xf numFmtId="0" fontId="21" fillId="0" borderId="0" xfId="3" applyFont="1"/>
    <xf numFmtId="0" fontId="13" fillId="0" borderId="0" xfId="3" applyFont="1" applyAlignment="1">
      <alignment horizontal="left" indent="1"/>
    </xf>
    <xf numFmtId="0" fontId="14" fillId="0" borderId="0" xfId="3" applyFont="1" applyAlignment="1">
      <alignment horizontal="left" indent="1"/>
    </xf>
    <xf numFmtId="166" fontId="13" fillId="0" borderId="1" xfId="3" applyNumberFormat="1" applyFont="1" applyBorder="1"/>
    <xf numFmtId="0" fontId="13" fillId="0" borderId="0" xfId="3" applyFont="1"/>
    <xf numFmtId="0" fontId="14" fillId="0" borderId="0" xfId="3" applyFont="1"/>
    <xf numFmtId="166" fontId="15" fillId="0" borderId="0" xfId="4" applyNumberFormat="1" applyFont="1" applyFill="1" applyBorder="1" applyAlignment="1"/>
    <xf numFmtId="166" fontId="22" fillId="0" borderId="0" xfId="3" applyNumberFormat="1" applyFont="1"/>
    <xf numFmtId="0" fontId="17" fillId="0" borderId="0" xfId="3" applyFont="1" applyAlignment="1">
      <alignment horizontal="left" indent="2"/>
    </xf>
    <xf numFmtId="0" fontId="18" fillId="0" borderId="0" xfId="3" applyFont="1" applyAlignment="1">
      <alignment horizontal="left" indent="2"/>
    </xf>
    <xf numFmtId="164" fontId="23" fillId="0" borderId="0" xfId="5" applyNumberFormat="1" applyFont="1" applyFill="1" applyBorder="1" applyAlignment="1"/>
    <xf numFmtId="166" fontId="24" fillId="0" borderId="0" xfId="4" applyNumberFormat="1" applyFont="1" applyFill="1" applyBorder="1" applyAlignment="1"/>
    <xf numFmtId="0" fontId="22" fillId="0" borderId="0" xfId="3" applyFont="1"/>
    <xf numFmtId="0" fontId="22" fillId="0" borderId="0" xfId="3" applyFont="1" applyAlignment="1">
      <alignment horizontal="left" indent="1"/>
    </xf>
    <xf numFmtId="0" fontId="25" fillId="0" borderId="0" xfId="3" applyFont="1" applyAlignment="1">
      <alignment horizontal="left" indent="1"/>
    </xf>
    <xf numFmtId="166" fontId="26" fillId="0" borderId="0" xfId="4" applyNumberFormat="1" applyFont="1" applyFill="1" applyBorder="1" applyAlignment="1"/>
    <xf numFmtId="166" fontId="27" fillId="0" borderId="0" xfId="3" applyNumberFormat="1" applyFont="1"/>
    <xf numFmtId="166" fontId="27" fillId="0" borderId="0" xfId="4" applyNumberFormat="1" applyFont="1" applyFill="1" applyBorder="1" applyAlignment="1"/>
    <xf numFmtId="166" fontId="28" fillId="0" borderId="0" xfId="3" applyNumberFormat="1" applyFont="1"/>
    <xf numFmtId="166" fontId="15" fillId="0" borderId="0" xfId="4" applyNumberFormat="1" applyFont="1" applyFill="1" applyAlignment="1"/>
    <xf numFmtId="166" fontId="13" fillId="0" borderId="0" xfId="3" applyNumberFormat="1" applyFont="1"/>
    <xf numFmtId="166" fontId="27" fillId="0" borderId="0" xfId="4" applyNumberFormat="1" applyFont="1" applyFill="1" applyAlignment="1"/>
    <xf numFmtId="166" fontId="27" fillId="0" borderId="1" xfId="4" applyNumberFormat="1" applyFont="1" applyFill="1" applyBorder="1" applyAlignment="1"/>
    <xf numFmtId="166" fontId="26" fillId="0" borderId="1" xfId="3" applyNumberFormat="1" applyFont="1" applyBorder="1"/>
    <xf numFmtId="0" fontId="25" fillId="0" borderId="0" xfId="3" applyFont="1"/>
    <xf numFmtId="166" fontId="15" fillId="0" borderId="3" xfId="4" applyNumberFormat="1" applyFont="1" applyFill="1" applyBorder="1" applyAlignment="1"/>
    <xf numFmtId="166" fontId="13" fillId="0" borderId="3" xfId="3" applyNumberFormat="1" applyFont="1" applyBorder="1"/>
    <xf numFmtId="164" fontId="22" fillId="0" borderId="0" xfId="5" applyNumberFormat="1" applyFont="1"/>
    <xf numFmtId="164" fontId="28" fillId="0" borderId="0" xfId="5" applyNumberFormat="1" applyFont="1"/>
    <xf numFmtId="0" fontId="22" fillId="4" borderId="0" xfId="3" applyFont="1" applyFill="1"/>
    <xf numFmtId="0" fontId="25" fillId="4" borderId="0" xfId="3" applyFont="1" applyFill="1" applyAlignment="1">
      <alignment horizontal="left"/>
    </xf>
    <xf numFmtId="43" fontId="22" fillId="4" borderId="0" xfId="4" applyFont="1" applyFill="1"/>
    <xf numFmtId="0" fontId="13" fillId="4" borderId="0" xfId="3" applyFont="1" applyFill="1"/>
    <xf numFmtId="0" fontId="14" fillId="4" borderId="0" xfId="3" applyFont="1" applyFill="1" applyAlignment="1">
      <alignment horizontal="left"/>
    </xf>
    <xf numFmtId="43" fontId="13" fillId="4" borderId="0" xfId="4" applyFont="1" applyFill="1"/>
    <xf numFmtId="0" fontId="22" fillId="4" borderId="0" xfId="3" applyFont="1" applyFill="1" applyAlignment="1">
      <alignment horizontal="left" indent="1"/>
    </xf>
    <xf numFmtId="0" fontId="25" fillId="4" borderId="0" xfId="3" applyFont="1" applyFill="1" applyAlignment="1">
      <alignment horizontal="left" indent="1"/>
    </xf>
    <xf numFmtId="167" fontId="27" fillId="4" borderId="0" xfId="4" applyNumberFormat="1" applyFont="1" applyFill="1" applyAlignment="1"/>
    <xf numFmtId="0" fontId="22" fillId="4" borderId="0" xfId="3" applyFont="1" applyFill="1" applyAlignment="1">
      <alignment horizontal="left" indent="2"/>
    </xf>
    <xf numFmtId="0" fontId="25" fillId="4" borderId="0" xfId="3" applyFont="1" applyFill="1" applyAlignment="1">
      <alignment horizontal="left" indent="2"/>
    </xf>
    <xf numFmtId="166" fontId="27" fillId="4" borderId="0" xfId="4" applyNumberFormat="1" applyFont="1" applyFill="1" applyAlignment="1"/>
    <xf numFmtId="0" fontId="13" fillId="4" borderId="0" xfId="3" applyFont="1" applyFill="1" applyAlignment="1">
      <alignment horizontal="left" indent="1"/>
    </xf>
    <xf numFmtId="0" fontId="14" fillId="4" borderId="0" xfId="3" applyFont="1" applyFill="1" applyAlignment="1">
      <alignment horizontal="left" indent="1"/>
    </xf>
    <xf numFmtId="9" fontId="15" fillId="4" borderId="0" xfId="5" applyFont="1" applyFill="1" applyAlignment="1"/>
    <xf numFmtId="9" fontId="24" fillId="4" borderId="0" xfId="5" applyFont="1" applyFill="1" applyAlignment="1"/>
    <xf numFmtId="168" fontId="13" fillId="4" borderId="0" xfId="3" applyNumberFormat="1" applyFont="1" applyFill="1"/>
    <xf numFmtId="9" fontId="13" fillId="4" borderId="0" xfId="5" applyFont="1" applyFill="1"/>
    <xf numFmtId="9" fontId="22" fillId="4" borderId="0" xfId="5" applyFont="1" applyFill="1"/>
    <xf numFmtId="0" fontId="29" fillId="4" borderId="0" xfId="3" applyFont="1" applyFill="1" applyAlignment="1">
      <alignment horizontal="left" indent="1"/>
    </xf>
    <xf numFmtId="0" fontId="30" fillId="4" borderId="0" xfId="3" applyFont="1" applyFill="1" applyAlignment="1">
      <alignment horizontal="left" indent="1"/>
    </xf>
    <xf numFmtId="164" fontId="29" fillId="4" borderId="0" xfId="5" applyNumberFormat="1" applyFont="1" applyFill="1"/>
    <xf numFmtId="164" fontId="13" fillId="4" borderId="0" xfId="5" applyNumberFormat="1" applyFont="1" applyFill="1"/>
    <xf numFmtId="164" fontId="22" fillId="4" borderId="0" xfId="5" applyNumberFormat="1" applyFont="1" applyFill="1"/>
    <xf numFmtId="0" fontId="14" fillId="4" borderId="0" xfId="3" applyFont="1" applyFill="1"/>
    <xf numFmtId="169" fontId="13" fillId="4" borderId="0" xfId="4" applyNumberFormat="1" applyFont="1" applyFill="1"/>
    <xf numFmtId="165" fontId="29" fillId="4" borderId="0" xfId="4" applyNumberFormat="1" applyFont="1" applyFill="1"/>
    <xf numFmtId="164" fontId="13" fillId="0" borderId="0" xfId="5" applyNumberFormat="1" applyFont="1"/>
    <xf numFmtId="3" fontId="22" fillId="0" borderId="0" xfId="3" applyNumberFormat="1" applyFont="1"/>
    <xf numFmtId="0" fontId="13" fillId="2" borderId="2" xfId="3" applyFont="1" applyFill="1" applyBorder="1"/>
    <xf numFmtId="0" fontId="14" fillId="2" borderId="2" xfId="3" applyFont="1" applyFill="1" applyBorder="1"/>
    <xf numFmtId="0" fontId="13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1"/>
    </xf>
    <xf numFmtId="166" fontId="15" fillId="2" borderId="0" xfId="3" applyNumberFormat="1" applyFont="1" applyFill="1"/>
    <xf numFmtId="0" fontId="22" fillId="2" borderId="0" xfId="3" applyFont="1" applyFill="1"/>
    <xf numFmtId="0" fontId="32" fillId="2" borderId="0" xfId="3" applyFont="1" applyFill="1"/>
    <xf numFmtId="0" fontId="22" fillId="2" borderId="0" xfId="3" applyFont="1" applyFill="1" applyAlignment="1">
      <alignment horizontal="left" indent="1"/>
    </xf>
    <xf numFmtId="0" fontId="25" fillId="2" borderId="0" xfId="3" applyFont="1" applyFill="1" applyAlignment="1">
      <alignment horizontal="left" indent="1"/>
    </xf>
    <xf numFmtId="166" fontId="27" fillId="2" borderId="0" xfId="3" applyNumberFormat="1" applyFont="1" applyFill="1"/>
    <xf numFmtId="0" fontId="13" fillId="2" borderId="0" xfId="3" applyFont="1" applyFill="1"/>
    <xf numFmtId="0" fontId="22" fillId="2" borderId="0" xfId="3" applyFont="1" applyFill="1" applyAlignment="1">
      <alignment horizontal="left" indent="2"/>
    </xf>
    <xf numFmtId="0" fontId="25" fillId="2" borderId="0" xfId="3" applyFont="1" applyFill="1" applyAlignment="1">
      <alignment horizontal="left" indent="3"/>
    </xf>
    <xf numFmtId="166" fontId="28" fillId="2" borderId="0" xfId="3" applyNumberFormat="1" applyFont="1" applyFill="1"/>
    <xf numFmtId="0" fontId="22" fillId="2" borderId="0" xfId="3" applyFont="1" applyFill="1" applyAlignment="1">
      <alignment horizontal="left"/>
    </xf>
    <xf numFmtId="0" fontId="25" fillId="2" borderId="0" xfId="3" applyFont="1" applyFill="1" applyAlignment="1">
      <alignment horizontal="left"/>
    </xf>
    <xf numFmtId="166" fontId="28" fillId="2" borderId="1" xfId="3" applyNumberFormat="1" applyFont="1" applyFill="1" applyBorder="1"/>
    <xf numFmtId="0" fontId="22" fillId="2" borderId="1" xfId="3" applyFont="1" applyFill="1" applyBorder="1"/>
    <xf numFmtId="166" fontId="31" fillId="2" borderId="1" xfId="3" applyNumberFormat="1" applyFont="1" applyFill="1" applyBorder="1"/>
    <xf numFmtId="0" fontId="13" fillId="2" borderId="0" xfId="3" applyFont="1" applyFill="1" applyAlignment="1">
      <alignment wrapText="1"/>
    </xf>
    <xf numFmtId="0" fontId="14" fillId="2" borderId="0" xfId="3" applyFont="1" applyFill="1"/>
    <xf numFmtId="166" fontId="13" fillId="2" borderId="2" xfId="3" applyNumberFormat="1" applyFont="1" applyFill="1" applyBorder="1"/>
    <xf numFmtId="166" fontId="13" fillId="2" borderId="0" xfId="3" applyNumberFormat="1" applyFont="1" applyFill="1"/>
    <xf numFmtId="166" fontId="31" fillId="2" borderId="0" xfId="3" applyNumberFormat="1" applyFont="1" applyFill="1"/>
    <xf numFmtId="0" fontId="25" fillId="2" borderId="0" xfId="3" applyFont="1" applyFill="1" applyAlignment="1">
      <alignment horizontal="left" indent="2"/>
    </xf>
    <xf numFmtId="166" fontId="28" fillId="0" borderId="0" xfId="4" applyNumberFormat="1" applyFont="1" applyFill="1" applyBorder="1" applyAlignment="1"/>
    <xf numFmtId="0" fontId="22" fillId="2" borderId="0" xfId="3" applyFont="1" applyFill="1" applyAlignment="1">
      <alignment horizontal="left" wrapText="1" indent="1"/>
    </xf>
    <xf numFmtId="0" fontId="22" fillId="2" borderId="1" xfId="3" applyFont="1" applyFill="1" applyBorder="1" applyAlignment="1">
      <alignment wrapText="1"/>
    </xf>
    <xf numFmtId="166" fontId="22" fillId="2" borderId="0" xfId="3" applyNumberFormat="1" applyFont="1" applyFill="1"/>
    <xf numFmtId="0" fontId="22" fillId="2" borderId="0" xfId="3" applyFont="1" applyFill="1" applyAlignment="1">
      <alignment wrapText="1"/>
    </xf>
    <xf numFmtId="166" fontId="27" fillId="2" borderId="0" xfId="4" applyNumberFormat="1" applyFont="1" applyFill="1" applyBorder="1" applyAlignment="1"/>
    <xf numFmtId="166" fontId="22" fillId="2" borderId="0" xfId="4" applyNumberFormat="1" applyFont="1" applyFill="1" applyBorder="1" applyAlignment="1"/>
    <xf numFmtId="166" fontId="31" fillId="2" borderId="0" xfId="4" applyNumberFormat="1" applyFont="1" applyFill="1" applyBorder="1" applyAlignment="1"/>
    <xf numFmtId="166" fontId="28" fillId="2" borderId="0" xfId="4" applyNumberFormat="1" applyFont="1" applyFill="1" applyBorder="1" applyAlignment="1"/>
    <xf numFmtId="166" fontId="13" fillId="2" borderId="2" xfId="4" applyNumberFormat="1" applyFont="1" applyFill="1" applyBorder="1" applyAlignment="1"/>
    <xf numFmtId="166" fontId="13" fillId="2" borderId="0" xfId="4" applyNumberFormat="1" applyFont="1" applyFill="1" applyBorder="1" applyAlignment="1"/>
    <xf numFmtId="166" fontId="24" fillId="2" borderId="0" xfId="4" applyNumberFormat="1" applyFont="1" applyFill="1" applyBorder="1" applyAlignment="1"/>
    <xf numFmtId="166" fontId="22" fillId="2" borderId="0" xfId="4" applyNumberFormat="1" applyFont="1" applyFill="1" applyAlignment="1"/>
    <xf numFmtId="166" fontId="31" fillId="2" borderId="0" xfId="4" applyNumberFormat="1" applyFont="1" applyFill="1" applyAlignment="1"/>
    <xf numFmtId="0" fontId="14" fillId="2" borderId="0" xfId="3" applyFont="1" applyFill="1" applyAlignment="1">
      <alignment wrapText="1"/>
    </xf>
    <xf numFmtId="166" fontId="13" fillId="2" borderId="0" xfId="4" applyNumberFormat="1" applyFont="1" applyFill="1" applyAlignment="1"/>
    <xf numFmtId="0" fontId="25" fillId="2" borderId="0" xfId="3" applyFont="1" applyFill="1"/>
    <xf numFmtId="0" fontId="33" fillId="2" borderId="0" xfId="3" applyFont="1" applyFill="1"/>
    <xf numFmtId="38" fontId="16" fillId="2" borderId="0" xfId="3" applyNumberFormat="1" applyFont="1" applyFill="1"/>
    <xf numFmtId="38" fontId="33" fillId="2" borderId="0" xfId="3" applyNumberFormat="1" applyFont="1" applyFill="1"/>
    <xf numFmtId="0" fontId="3" fillId="2" borderId="0" xfId="3" applyFill="1"/>
    <xf numFmtId="0" fontId="22" fillId="0" borderId="2" xfId="3" applyFont="1" applyBorder="1"/>
    <xf numFmtId="0" fontId="25" fillId="0" borderId="2" xfId="3" applyFont="1" applyBorder="1"/>
    <xf numFmtId="166" fontId="17" fillId="0" borderId="0" xfId="4" applyNumberFormat="1" applyFont="1" applyFill="1" applyBorder="1" applyAlignment="1"/>
    <xf numFmtId="0" fontId="34" fillId="0" borderId="0" xfId="3" applyFont="1"/>
    <xf numFmtId="0" fontId="13" fillId="0" borderId="0" xfId="3" applyFont="1" applyAlignment="1">
      <alignment horizontal="left" indent="2"/>
    </xf>
    <xf numFmtId="0" fontId="14" fillId="0" borderId="0" xfId="3" applyFont="1" applyAlignment="1">
      <alignment horizontal="left" indent="2"/>
    </xf>
    <xf numFmtId="0" fontId="35" fillId="0" borderId="0" xfId="3" applyFont="1" applyAlignment="1">
      <alignment horizontal="right"/>
    </xf>
    <xf numFmtId="166" fontId="36" fillId="0" borderId="2" xfId="4" applyNumberFormat="1" applyFont="1" applyFill="1" applyBorder="1" applyAlignment="1"/>
    <xf numFmtId="166" fontId="36" fillId="0" borderId="1" xfId="4" applyNumberFormat="1" applyFont="1" applyFill="1" applyBorder="1" applyAlignment="1"/>
    <xf numFmtId="166" fontId="37" fillId="0" borderId="0" xfId="4" applyNumberFormat="1" applyFont="1" applyFill="1" applyBorder="1" applyAlignment="1"/>
    <xf numFmtId="0" fontId="38" fillId="0" borderId="0" xfId="3" applyFont="1"/>
    <xf numFmtId="0" fontId="39" fillId="0" borderId="0" xfId="3" applyFont="1"/>
    <xf numFmtId="166" fontId="37" fillId="0" borderId="1" xfId="4" applyNumberFormat="1" applyFont="1" applyFill="1" applyBorder="1" applyAlignment="1"/>
    <xf numFmtId="166" fontId="37" fillId="0" borderId="0" xfId="4" applyNumberFormat="1" applyFont="1" applyFill="1" applyAlignment="1"/>
    <xf numFmtId="167" fontId="37" fillId="4" borderId="0" xfId="4" applyNumberFormat="1" applyFont="1" applyFill="1" applyAlignment="1"/>
    <xf numFmtId="0" fontId="13" fillId="4" borderId="0" xfId="3" applyFont="1" applyFill="1" applyAlignment="1">
      <alignment horizontal="left" indent="2"/>
    </xf>
    <xf numFmtId="0" fontId="14" fillId="4" borderId="0" xfId="3" applyFont="1" applyFill="1" applyAlignment="1">
      <alignment horizontal="left" indent="2"/>
    </xf>
    <xf numFmtId="167" fontId="15" fillId="4" borderId="0" xfId="4" applyNumberFormat="1" applyFont="1" applyFill="1" applyAlignment="1"/>
    <xf numFmtId="167" fontId="37" fillId="4" borderId="0" xfId="4" applyNumberFormat="1" applyFont="1" applyFill="1" applyAlignment="1">
      <alignment horizontal="right"/>
    </xf>
    <xf numFmtId="0" fontId="13" fillId="5" borderId="0" xfId="3" applyFont="1" applyFill="1"/>
    <xf numFmtId="0" fontId="14" fillId="5" borderId="0" xfId="3" applyFont="1" applyFill="1"/>
    <xf numFmtId="0" fontId="22" fillId="5" borderId="0" xfId="3" applyFont="1" applyFill="1"/>
    <xf numFmtId="0" fontId="13" fillId="5" borderId="0" xfId="3" applyFont="1" applyFill="1" applyAlignment="1">
      <alignment horizontal="left" indent="2"/>
    </xf>
    <xf numFmtId="0" fontId="14" fillId="5" borderId="0" xfId="3" applyFont="1" applyFill="1" applyAlignment="1">
      <alignment horizontal="left" indent="2"/>
    </xf>
    <xf numFmtId="166" fontId="36" fillId="5" borderId="0" xfId="4" applyNumberFormat="1" applyFont="1" applyFill="1" applyBorder="1" applyAlignment="1"/>
    <xf numFmtId="166" fontId="13" fillId="5" borderId="0" xfId="3" applyNumberFormat="1" applyFont="1" applyFill="1"/>
    <xf numFmtId="0" fontId="22" fillId="5" borderId="0" xfId="3" applyFont="1" applyFill="1" applyAlignment="1">
      <alignment horizontal="left" indent="3"/>
    </xf>
    <xf numFmtId="0" fontId="25" fillId="5" borderId="0" xfId="3" applyFont="1" applyFill="1" applyAlignment="1">
      <alignment horizontal="left" indent="3"/>
    </xf>
    <xf numFmtId="166" fontId="37" fillId="5" borderId="0" xfId="4" applyNumberFormat="1" applyFont="1" applyFill="1" applyBorder="1" applyAlignment="1"/>
    <xf numFmtId="166" fontId="27" fillId="5" borderId="0" xfId="4" applyNumberFormat="1" applyFont="1" applyFill="1" applyBorder="1" applyAlignment="1"/>
    <xf numFmtId="166" fontId="28" fillId="5" borderId="0" xfId="4" applyNumberFormat="1" applyFont="1" applyFill="1" applyBorder="1" applyAlignment="1"/>
    <xf numFmtId="0" fontId="13" fillId="5" borderId="0" xfId="3" applyFont="1" applyFill="1" applyAlignment="1">
      <alignment horizontal="left" indent="3"/>
    </xf>
    <xf numFmtId="0" fontId="14" fillId="5" borderId="0" xfId="3" applyFont="1" applyFill="1" applyAlignment="1">
      <alignment horizontal="left" indent="3"/>
    </xf>
    <xf numFmtId="3" fontId="13" fillId="5" borderId="0" xfId="3" applyNumberFormat="1" applyFont="1" applyFill="1"/>
    <xf numFmtId="0" fontId="22" fillId="5" borderId="0" xfId="3" applyFont="1" applyFill="1" applyAlignment="1">
      <alignment horizontal="left" indent="4"/>
    </xf>
    <xf numFmtId="0" fontId="18" fillId="5" borderId="0" xfId="3" applyFont="1" applyFill="1" applyAlignment="1">
      <alignment horizontal="left" indent="5"/>
    </xf>
    <xf numFmtId="9" fontId="28" fillId="5" borderId="0" xfId="3" applyNumberFormat="1" applyFont="1" applyFill="1"/>
    <xf numFmtId="0" fontId="17" fillId="5" borderId="0" xfId="3" applyFont="1" applyFill="1"/>
    <xf numFmtId="0" fontId="22" fillId="0" borderId="0" xfId="3" applyFont="1" applyAlignment="1">
      <alignment horizontal="left" indent="2"/>
    </xf>
    <xf numFmtId="9" fontId="17" fillId="0" borderId="0" xfId="6" applyFont="1" applyFill="1" applyBorder="1" applyAlignment="1"/>
    <xf numFmtId="9" fontId="28" fillId="0" borderId="0" xfId="6" applyFont="1" applyFill="1" applyBorder="1" applyAlignment="1"/>
    <xf numFmtId="166" fontId="15" fillId="5" borderId="0" xfId="4" applyNumberFormat="1" applyFont="1" applyFill="1" applyBorder="1" applyAlignment="1"/>
    <xf numFmtId="0" fontId="17" fillId="5" borderId="0" xfId="3" applyFont="1" applyFill="1" applyAlignment="1">
      <alignment horizontal="left" indent="5"/>
    </xf>
    <xf numFmtId="164" fontId="17" fillId="5" borderId="0" xfId="6" applyNumberFormat="1" applyFont="1" applyFill="1" applyBorder="1" applyAlignment="1"/>
    <xf numFmtId="164" fontId="28" fillId="5" borderId="0" xfId="6" applyNumberFormat="1" applyFont="1" applyFill="1" applyBorder="1" applyAlignment="1"/>
    <xf numFmtId="164" fontId="22" fillId="0" borderId="0" xfId="6" applyNumberFormat="1" applyFont="1"/>
    <xf numFmtId="0" fontId="42" fillId="0" borderId="0" xfId="0" applyFont="1"/>
    <xf numFmtId="0" fontId="43" fillId="0" borderId="0" xfId="0" applyFont="1"/>
    <xf numFmtId="0" fontId="14" fillId="2" borderId="0" xfId="3" applyFont="1" applyFill="1" applyAlignment="1">
      <alignment horizontal="left"/>
    </xf>
    <xf numFmtId="9" fontId="33" fillId="2" borderId="0" xfId="6" applyFont="1" applyFill="1"/>
    <xf numFmtId="0" fontId="44" fillId="0" borderId="0" xfId="3" applyFont="1" applyAlignment="1">
      <alignment horizontal="left"/>
    </xf>
    <xf numFmtId="0" fontId="25" fillId="0" borderId="0" xfId="3" applyFont="1" applyAlignment="1">
      <alignment horizontal="left" indent="2"/>
    </xf>
    <xf numFmtId="3" fontId="0" fillId="0" borderId="0" xfId="0" applyNumberFormat="1"/>
    <xf numFmtId="0" fontId="29" fillId="0" borderId="0" xfId="3" applyFont="1" applyAlignment="1">
      <alignment horizontal="left" indent="1"/>
    </xf>
    <xf numFmtId="0" fontId="30" fillId="0" borderId="0" xfId="3" applyFont="1" applyAlignment="1">
      <alignment horizontal="left" indent="1"/>
    </xf>
    <xf numFmtId="165" fontId="29" fillId="0" borderId="0" xfId="4" applyNumberFormat="1" applyFont="1" applyFill="1"/>
    <xf numFmtId="0" fontId="46" fillId="0" borderId="5" xfId="4" applyNumberFormat="1" applyFont="1" applyFill="1" applyBorder="1" applyAlignment="1">
      <alignment horizontal="center"/>
    </xf>
    <xf numFmtId="165" fontId="47" fillId="0" borderId="6" xfId="4" applyNumberFormat="1" applyFont="1" applyFill="1" applyBorder="1" applyAlignment="1">
      <alignment horizontal="center"/>
    </xf>
    <xf numFmtId="0" fontId="46" fillId="0" borderId="8" xfId="4" applyNumberFormat="1" applyFont="1" applyFill="1" applyBorder="1" applyAlignment="1">
      <alignment horizontal="center"/>
    </xf>
    <xf numFmtId="165" fontId="47" fillId="0" borderId="4" xfId="4" applyNumberFormat="1" applyFont="1" applyFill="1" applyBorder="1" applyAlignment="1">
      <alignment horizontal="center"/>
    </xf>
    <xf numFmtId="0" fontId="46" fillId="0" borderId="10" xfId="4" applyNumberFormat="1" applyFont="1" applyFill="1" applyBorder="1" applyAlignment="1">
      <alignment horizontal="center"/>
    </xf>
    <xf numFmtId="165" fontId="47" fillId="0" borderId="11" xfId="4" applyNumberFormat="1" applyFont="1" applyFill="1" applyBorder="1" applyAlignment="1">
      <alignment horizontal="center"/>
    </xf>
    <xf numFmtId="166" fontId="24" fillId="0" borderId="2" xfId="4" applyNumberFormat="1" applyFont="1" applyFill="1" applyBorder="1" applyAlignment="1"/>
    <xf numFmtId="0" fontId="45" fillId="12" borderId="13" xfId="4" applyNumberFormat="1" applyFont="1" applyFill="1" applyBorder="1" applyAlignment="1">
      <alignment horizontal="center"/>
    </xf>
    <xf numFmtId="165" fontId="45" fillId="12" borderId="14" xfId="4" applyNumberFormat="1" applyFont="1" applyFill="1" applyBorder="1" applyAlignment="1">
      <alignment horizontal="center"/>
    </xf>
    <xf numFmtId="165" fontId="46" fillId="12" borderId="14" xfId="4" applyNumberFormat="1" applyFont="1" applyFill="1" applyBorder="1" applyAlignment="1">
      <alignment horizontal="center"/>
    </xf>
    <xf numFmtId="165" fontId="46" fillId="12" borderId="15" xfId="4" applyNumberFormat="1" applyFont="1" applyFill="1" applyBorder="1" applyAlignment="1">
      <alignment horizontal="center"/>
    </xf>
    <xf numFmtId="166" fontId="24" fillId="0" borderId="1" xfId="3" applyNumberFormat="1" applyFont="1" applyBorder="1"/>
    <xf numFmtId="166" fontId="48" fillId="2" borderId="0" xfId="4" applyNumberFormat="1" applyFont="1" applyFill="1" applyBorder="1" applyAlignment="1"/>
    <xf numFmtId="0" fontId="22" fillId="5" borderId="0" xfId="3" applyFont="1" applyFill="1" applyAlignment="1">
      <alignment horizontal="left" indent="2"/>
    </xf>
    <xf numFmtId="0" fontId="25" fillId="5" borderId="0" xfId="3" applyFont="1" applyFill="1" applyAlignment="1">
      <alignment horizontal="left" indent="2"/>
    </xf>
    <xf numFmtId="0" fontId="49" fillId="5" borderId="0" xfId="3" applyFont="1" applyFill="1" applyAlignment="1">
      <alignment horizontal="left" indent="5"/>
    </xf>
    <xf numFmtId="0" fontId="18" fillId="5" borderId="0" xfId="3" applyFont="1" applyFill="1" applyAlignment="1">
      <alignment horizontal="left" indent="6"/>
    </xf>
    <xf numFmtId="0" fontId="13" fillId="9" borderId="0" xfId="3" applyFont="1" applyFill="1"/>
    <xf numFmtId="0" fontId="25" fillId="9" borderId="0" xfId="3" applyFont="1" applyFill="1"/>
    <xf numFmtId="0" fontId="22" fillId="9" borderId="0" xfId="3" applyFont="1" applyFill="1"/>
    <xf numFmtId="0" fontId="22" fillId="9" borderId="0" xfId="3" applyFont="1" applyFill="1" applyAlignment="1">
      <alignment horizontal="left" indent="1"/>
    </xf>
    <xf numFmtId="166" fontId="37" fillId="9" borderId="0" xfId="4" applyNumberFormat="1" applyFont="1" applyFill="1" applyBorder="1" applyAlignment="1"/>
    <xf numFmtId="166" fontId="22" fillId="9" borderId="0" xfId="3" applyNumberFormat="1" applyFont="1" applyFill="1"/>
    <xf numFmtId="0" fontId="22" fillId="9" borderId="0" xfId="3" applyFont="1" applyFill="1" applyAlignment="1">
      <alignment horizontal="left" indent="2"/>
    </xf>
    <xf numFmtId="0" fontId="28" fillId="9" borderId="0" xfId="3" applyFont="1" applyFill="1"/>
    <xf numFmtId="166" fontId="27" fillId="9" borderId="0" xfId="4" applyNumberFormat="1" applyFont="1" applyFill="1" applyBorder="1" applyAlignment="1"/>
    <xf numFmtId="0" fontId="17" fillId="9" borderId="0" xfId="3" applyFont="1" applyFill="1" applyAlignment="1">
      <alignment horizontal="left" indent="3"/>
    </xf>
    <xf numFmtId="164" fontId="17" fillId="9" borderId="0" xfId="6" applyNumberFormat="1" applyFont="1" applyFill="1"/>
    <xf numFmtId="164" fontId="28" fillId="9" borderId="0" xfId="3" applyNumberFormat="1" applyFont="1" applyFill="1"/>
    <xf numFmtId="3" fontId="22" fillId="9" borderId="0" xfId="3" applyNumberFormat="1" applyFont="1" applyFill="1"/>
    <xf numFmtId="0" fontId="14" fillId="9" borderId="0" xfId="3" applyFont="1" applyFill="1"/>
    <xf numFmtId="0" fontId="25" fillId="9" borderId="0" xfId="3" applyFont="1" applyFill="1" applyAlignment="1">
      <alignment horizontal="left" indent="1"/>
    </xf>
    <xf numFmtId="0" fontId="25" fillId="9" borderId="0" xfId="3" applyFont="1" applyFill="1" applyAlignment="1">
      <alignment horizontal="left" indent="2"/>
    </xf>
    <xf numFmtId="0" fontId="18" fillId="9" borderId="0" xfId="3" applyFont="1" applyFill="1" applyAlignment="1">
      <alignment horizontal="left" indent="3"/>
    </xf>
    <xf numFmtId="164" fontId="28" fillId="0" borderId="0" xfId="6" applyNumberFormat="1" applyFont="1"/>
    <xf numFmtId="166" fontId="37" fillId="0" borderId="0" xfId="3" applyNumberFormat="1" applyFont="1"/>
    <xf numFmtId="0" fontId="51" fillId="7" borderId="0" xfId="0" applyFont="1" applyFill="1"/>
    <xf numFmtId="0" fontId="52" fillId="0" borderId="0" xfId="0" applyFont="1"/>
    <xf numFmtId="0" fontId="52" fillId="0" borderId="0" xfId="0" quotePrefix="1" applyFont="1"/>
    <xf numFmtId="0" fontId="54" fillId="0" borderId="0" xfId="0" applyFont="1"/>
    <xf numFmtId="166" fontId="48" fillId="0" borderId="0" xfId="4" applyNumberFormat="1" applyFont="1" applyFill="1" applyBorder="1" applyAlignment="1"/>
    <xf numFmtId="164" fontId="23" fillId="6" borderId="0" xfId="5" applyNumberFormat="1" applyFont="1" applyFill="1" applyBorder="1" applyAlignment="1"/>
    <xf numFmtId="166" fontId="28" fillId="6" borderId="0" xfId="4" applyNumberFormat="1" applyFont="1" applyFill="1" applyBorder="1" applyAlignment="1"/>
    <xf numFmtId="166" fontId="48" fillId="0" borderId="1" xfId="4" applyNumberFormat="1" applyFont="1" applyFill="1" applyBorder="1" applyAlignment="1"/>
    <xf numFmtId="166" fontId="48" fillId="0" borderId="0" xfId="4" applyNumberFormat="1" applyFont="1" applyFill="1" applyAlignment="1"/>
    <xf numFmtId="164" fontId="28" fillId="6" borderId="0" xfId="5" applyNumberFormat="1" applyFont="1" applyFill="1"/>
    <xf numFmtId="166" fontId="55" fillId="0" borderId="2" xfId="4" applyNumberFormat="1" applyFont="1" applyFill="1" applyBorder="1" applyAlignment="1"/>
    <xf numFmtId="166" fontId="55" fillId="0" borderId="1" xfId="3" applyNumberFormat="1" applyFont="1" applyBorder="1"/>
    <xf numFmtId="166" fontId="48" fillId="0" borderId="0" xfId="3" applyNumberFormat="1" applyFont="1"/>
    <xf numFmtId="164" fontId="56" fillId="0" borderId="0" xfId="5" applyNumberFormat="1" applyFont="1" applyFill="1" applyBorder="1" applyAlignment="1"/>
    <xf numFmtId="164" fontId="48" fillId="0" borderId="0" xfId="5" applyNumberFormat="1" applyFont="1" applyFill="1"/>
    <xf numFmtId="166" fontId="28" fillId="6" borderId="0" xfId="4" applyNumberFormat="1" applyFont="1" applyFill="1" applyAlignment="1"/>
    <xf numFmtId="9" fontId="24" fillId="6" borderId="0" xfId="5" applyFont="1" applyFill="1" applyAlignment="1"/>
    <xf numFmtId="0" fontId="51" fillId="7" borderId="0" xfId="0" applyFont="1" applyFill="1" applyAlignment="1">
      <alignment vertical="center"/>
    </xf>
    <xf numFmtId="0" fontId="43" fillId="0" borderId="0" xfId="0" applyFont="1" applyAlignment="1">
      <alignment vertical="top" wrapText="1"/>
    </xf>
    <xf numFmtId="0" fontId="43" fillId="13" borderId="0" xfId="0" applyFont="1" applyFill="1" applyAlignment="1">
      <alignment vertical="top" wrapText="1"/>
    </xf>
    <xf numFmtId="0" fontId="42" fillId="13" borderId="0" xfId="0" applyFont="1" applyFill="1" applyAlignment="1">
      <alignment vertical="top" wrapText="1"/>
    </xf>
    <xf numFmtId="0" fontId="43" fillId="13" borderId="0" xfId="0" applyFont="1" applyFill="1" applyAlignment="1">
      <alignment horizontal="center" vertical="top" wrapText="1"/>
    </xf>
    <xf numFmtId="0" fontId="42" fillId="0" borderId="0" xfId="0" applyFont="1" applyAlignment="1">
      <alignment vertical="top" wrapText="1"/>
    </xf>
    <xf numFmtId="0" fontId="43" fillId="0" borderId="0" xfId="0" applyFont="1" applyAlignment="1">
      <alignment horizontal="center" vertical="top" wrapText="1"/>
    </xf>
    <xf numFmtId="2" fontId="50" fillId="0" borderId="0" xfId="0" applyNumberFormat="1" applyFont="1" applyAlignment="1">
      <alignment horizontal="right"/>
    </xf>
    <xf numFmtId="2" fontId="57" fillId="6" borderId="0" xfId="0" applyNumberFormat="1" applyFont="1" applyFill="1" applyAlignment="1">
      <alignment horizontal="right"/>
    </xf>
    <xf numFmtId="177" fontId="50" fillId="0" borderId="0" xfId="0" applyNumberFormat="1" applyFont="1" applyAlignment="1">
      <alignment horizontal="right"/>
    </xf>
    <xf numFmtId="177" fontId="57" fillId="6" borderId="0" xfId="0" applyNumberFormat="1" applyFont="1" applyFill="1" applyAlignment="1">
      <alignment horizontal="right"/>
    </xf>
    <xf numFmtId="2" fontId="58" fillId="0" borderId="0" xfId="0" applyNumberFormat="1" applyFont="1" applyAlignment="1">
      <alignment horizontal="right"/>
    </xf>
    <xf numFmtId="164" fontId="50" fillId="0" borderId="0" xfId="0" applyNumberFormat="1" applyFont="1" applyAlignment="1">
      <alignment horizontal="right"/>
    </xf>
    <xf numFmtId="164" fontId="58" fillId="0" borderId="0" xfId="0" applyNumberFormat="1" applyFont="1" applyAlignment="1">
      <alignment horizontal="right"/>
    </xf>
    <xf numFmtId="177" fontId="53" fillId="0" borderId="0" xfId="0" applyNumberFormat="1" applyFont="1" applyAlignment="1">
      <alignment horizontal="right"/>
    </xf>
    <xf numFmtId="2" fontId="53" fillId="0" borderId="0" xfId="0" applyNumberFormat="1" applyFont="1" applyAlignment="1">
      <alignment horizontal="right"/>
    </xf>
    <xf numFmtId="0" fontId="50" fillId="0" borderId="0" xfId="0" applyFont="1"/>
    <xf numFmtId="1" fontId="50" fillId="0" borderId="0" xfId="0" applyNumberFormat="1" applyFont="1"/>
    <xf numFmtId="0" fontId="58" fillId="0" borderId="0" xfId="0" applyFont="1"/>
    <xf numFmtId="177" fontId="58" fillId="0" borderId="0" xfId="0" applyNumberFormat="1" applyFont="1"/>
    <xf numFmtId="177" fontId="53" fillId="0" borderId="0" xfId="0" applyNumberFormat="1" applyFont="1"/>
    <xf numFmtId="177" fontId="50" fillId="0" borderId="0" xfId="0" applyNumberFormat="1" applyFont="1"/>
    <xf numFmtId="1" fontId="53" fillId="0" borderId="0" xfId="0" applyNumberFormat="1" applyFont="1"/>
    <xf numFmtId="2" fontId="50" fillId="0" borderId="0" xfId="0" applyNumberFormat="1" applyFont="1"/>
    <xf numFmtId="178" fontId="50" fillId="0" borderId="0" xfId="0" applyNumberFormat="1" applyFont="1"/>
    <xf numFmtId="179" fontId="58" fillId="0" borderId="0" xfId="0" applyNumberFormat="1" applyFont="1"/>
    <xf numFmtId="49" fontId="50" fillId="0" borderId="0" xfId="0" applyNumberFormat="1" applyFont="1"/>
    <xf numFmtId="2" fontId="59" fillId="0" borderId="0" xfId="0" applyNumberFormat="1" applyFont="1"/>
    <xf numFmtId="178" fontId="59" fillId="0" borderId="0" xfId="0" applyNumberFormat="1" applyFont="1"/>
    <xf numFmtId="2" fontId="60" fillId="0" borderId="0" xfId="0" applyNumberFormat="1" applyFont="1"/>
    <xf numFmtId="49" fontId="50" fillId="0" borderId="0" xfId="0" applyNumberFormat="1" applyFont="1" applyAlignment="1">
      <alignment horizontal="right"/>
    </xf>
    <xf numFmtId="49" fontId="50" fillId="0" borderId="0" xfId="0" applyNumberFormat="1" applyFont="1" applyAlignment="1">
      <alignment horizontal="left"/>
    </xf>
    <xf numFmtId="164" fontId="50" fillId="0" borderId="0" xfId="0" applyNumberFormat="1" applyFont="1"/>
    <xf numFmtId="0" fontId="42" fillId="10" borderId="0" xfId="0" applyFont="1" applyFill="1"/>
    <xf numFmtId="164" fontId="57" fillId="6" borderId="0" xfId="0" applyNumberFormat="1" applyFont="1" applyFill="1"/>
    <xf numFmtId="0" fontId="42" fillId="9" borderId="0" xfId="0" applyFont="1" applyFill="1"/>
    <xf numFmtId="0" fontId="42" fillId="11" borderId="0" xfId="0" applyFont="1" applyFill="1"/>
    <xf numFmtId="0" fontId="42" fillId="12" borderId="0" xfId="0" applyFont="1" applyFill="1"/>
    <xf numFmtId="0" fontId="42" fillId="8" borderId="0" xfId="0" applyFont="1" applyFill="1"/>
    <xf numFmtId="166" fontId="28" fillId="6" borderId="0" xfId="3" applyNumberFormat="1" applyFont="1" applyFill="1"/>
    <xf numFmtId="43" fontId="28" fillId="6" borderId="0" xfId="4" applyFont="1" applyFill="1"/>
    <xf numFmtId="165" fontId="24" fillId="0" borderId="6" xfId="4" applyNumberFormat="1" applyFont="1" applyFill="1" applyBorder="1" applyAlignment="1">
      <alignment horizontal="center"/>
    </xf>
    <xf numFmtId="165" fontId="24" fillId="0" borderId="7" xfId="4" applyNumberFormat="1" applyFont="1" applyFill="1" applyBorder="1" applyAlignment="1">
      <alignment horizontal="center"/>
    </xf>
    <xf numFmtId="165" fontId="24" fillId="0" borderId="4" xfId="4" applyNumberFormat="1" applyFont="1" applyFill="1" applyBorder="1" applyAlignment="1">
      <alignment horizontal="center"/>
    </xf>
    <xf numFmtId="165" fontId="24" fillId="0" borderId="9" xfId="4" applyNumberFormat="1" applyFont="1" applyFill="1" applyBorder="1" applyAlignment="1">
      <alignment horizontal="center"/>
    </xf>
    <xf numFmtId="165" fontId="24" fillId="0" borderId="11" xfId="4" applyNumberFormat="1" applyFont="1" applyFill="1" applyBorder="1" applyAlignment="1">
      <alignment horizontal="center"/>
    </xf>
    <xf numFmtId="165" fontId="24" fillId="0" borderId="12" xfId="4" applyNumberFormat="1" applyFont="1" applyFill="1" applyBorder="1" applyAlignment="1">
      <alignment horizontal="center"/>
    </xf>
    <xf numFmtId="0" fontId="58" fillId="10" borderId="0" xfId="0" applyFont="1" applyFill="1"/>
    <xf numFmtId="180" fontId="50" fillId="0" borderId="0" xfId="0" applyNumberFormat="1" applyFont="1"/>
    <xf numFmtId="180" fontId="58" fillId="10" borderId="0" xfId="0" applyNumberFormat="1" applyFont="1" applyFill="1"/>
    <xf numFmtId="180" fontId="59" fillId="0" borderId="0" xfId="0" applyNumberFormat="1" applyFont="1"/>
    <xf numFmtId="180" fontId="53" fillId="0" borderId="0" xfId="0" applyNumberFormat="1" applyFont="1"/>
    <xf numFmtId="180" fontId="57" fillId="6" borderId="0" xfId="0" applyNumberFormat="1" applyFont="1" applyFill="1"/>
    <xf numFmtId="180" fontId="58" fillId="0" borderId="0" xfId="0" applyNumberFormat="1" applyFont="1"/>
    <xf numFmtId="180" fontId="58" fillId="9" borderId="0" xfId="0" applyNumberFormat="1" applyFont="1" applyFill="1"/>
    <xf numFmtId="180" fontId="58" fillId="11" borderId="0" xfId="0" applyNumberFormat="1" applyFont="1" applyFill="1"/>
    <xf numFmtId="180" fontId="58" fillId="12" borderId="0" xfId="0" applyNumberFormat="1" applyFont="1" applyFill="1"/>
    <xf numFmtId="180" fontId="58" fillId="8" borderId="0" xfId="0" applyNumberFormat="1" applyFont="1" applyFill="1"/>
    <xf numFmtId="164" fontId="53" fillId="0" borderId="0" xfId="0" applyNumberFormat="1" applyFont="1"/>
    <xf numFmtId="164" fontId="53" fillId="0" borderId="0" xfId="0" applyNumberFormat="1" applyFont="1" applyFill="1"/>
    <xf numFmtId="164" fontId="59" fillId="0" borderId="0" xfId="0" applyNumberFormat="1" applyFont="1"/>
    <xf numFmtId="0" fontId="51" fillId="7" borderId="0" xfId="0" applyFont="1" applyFill="1" applyAlignment="1">
      <alignment horizontal="right"/>
    </xf>
    <xf numFmtId="3" fontId="59" fillId="0" borderId="0" xfId="0" applyNumberFormat="1" applyFont="1"/>
    <xf numFmtId="3" fontId="50" fillId="0" borderId="0" xfId="0" applyNumberFormat="1" applyFont="1"/>
    <xf numFmtId="3" fontId="61" fillId="0" borderId="0" xfId="0" applyNumberFormat="1" applyFont="1"/>
  </cellXfs>
  <cellStyles count="9">
    <cellStyle name="Comma 2" xfId="4" xr:uid="{07ACD2D1-2769-448D-AF9A-C16966E728B8}"/>
    <cellStyle name="Normal" xfId="0" builtinId="0"/>
    <cellStyle name="Normal 2" xfId="3" xr:uid="{6749DAB0-6B9A-4039-8E70-9B78F4CA9F27}"/>
    <cellStyle name="Normal 3" xfId="7" xr:uid="{BC347418-013E-47C7-AD4E-76E13672B5A5}"/>
    <cellStyle name="Normal 4" xfId="8" xr:uid="{519F71F0-F2D7-4372-9B47-339ECA291F42}"/>
    <cellStyle name="Percent" xfId="6" builtinId="5"/>
    <cellStyle name="Percent 2" xfId="5" xr:uid="{EE2E9331-4417-484E-86FB-304113BD837A}"/>
    <cellStyle name="常规 2" xfId="1" xr:uid="{B8F978DE-661F-484E-A57D-7388CF38A40A}"/>
    <cellStyle name="常规 3" xfId="2" xr:uid="{43BDEC36-7F4C-4F45-88C8-959343AB761D}"/>
  </cellStyles>
  <dxfs count="2">
    <dxf>
      <font>
        <color rgb="FFFFFFFF"/>
      </font>
    </dxf>
    <dxf>
      <font>
        <color rgb="FFFFFFFF"/>
      </font>
    </dxf>
  </dxfs>
  <tableStyles count="0" defaultTableStyle="TableStyleMedium9" defaultPivotStyle="PivotStyleLight16"/>
  <colors>
    <mruColors>
      <color rgb="FFCCFFCC"/>
      <color rgb="FFF4DF42"/>
      <color rgb="FF6699FF"/>
      <color rgb="FFFFFFCC"/>
      <color rgb="FFFF00FF"/>
      <color rgb="FFCCFFFF"/>
      <color rgb="FFF3F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zh-CN" altLang="en-US" sz="1100"/>
              <a:t>隆鑫通用 </a:t>
            </a:r>
            <a:r>
              <a:rPr lang="en-US" altLang="zh-CN" sz="1100"/>
              <a:t>5</a:t>
            </a:r>
            <a:r>
              <a:rPr lang="zh-CN" altLang="en-US" sz="1100"/>
              <a:t>年前瞻</a:t>
            </a:r>
            <a:r>
              <a:rPr lang="en-US" sz="1100"/>
              <a:t>P/E</a:t>
            </a:r>
            <a:r>
              <a:rPr lang="zh-CN" altLang="en-US" sz="1100"/>
              <a:t>区间（均值</a:t>
            </a:r>
            <a:r>
              <a:rPr lang="en-US" altLang="zh-CN" sz="1100"/>
              <a:t>12.2</a:t>
            </a:r>
            <a:r>
              <a:rPr lang="en-US" sz="1100"/>
              <a:t>x，±1SD 10.4–14.0x，±2SD 8.5–15.9x）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前瞻P/E（一致预期）</c:v>
          </c:tx>
          <c:spPr>
            <a:ln w="31750">
              <a:solidFill>
                <a:srgbClr val="1F3F7F"/>
              </a:solidFill>
              <a:prstDash val="solid"/>
            </a:ln>
          </c:spPr>
          <c:marker>
            <c:symbol val="none"/>
          </c:marker>
          <c:dPt>
            <c:idx val="60"/>
            <c:marker>
              <c:symbol val="circl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9-6FF2-4B58-9F91-5E4E4A68EF96}"/>
              </c:ext>
            </c:extLst>
          </c:dPt>
          <c:dLbls>
            <c:dLbl>
              <c:idx val="60"/>
              <c:tx>
                <c:rich>
                  <a:bodyPr/>
                  <a:lstStyle/>
                  <a:p>
                    <a:r>
                      <a:rPr lang="zh-CN" altLang="en-US"/>
                      <a:t>现价</a:t>
                    </a:r>
                    <a:r>
                      <a:rPr lang="en-US" altLang="zh-CN"/>
                      <a:t>13.0x</a:t>
                    </a:r>
                    <a:r>
                      <a:rPr lang="zh-CN" altLang="en-US"/>
                      <a:t>（一致预期，</a:t>
                    </a:r>
                    <a:r>
                      <a:rPr lang="en-US" altLang="zh-CN"/>
                      <a:t>+0.4SD</a:t>
                    </a:r>
                    <a:r>
                      <a:rPr lang="zh-CN" altLang="en-US"/>
                      <a:t>）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FF2-4B58-9F91-5E4E4A68EF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估值区间!$F$21:$F$81</c:f>
              <c:numCache>
                <c:formatCode>0.0"x"</c:formatCode>
                <c:ptCount val="6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F2-4B58-9F91-5E4E4A68EF96}"/>
            </c:ext>
          </c:extLst>
        </c:ser>
        <c:ser>
          <c:idx val="1"/>
          <c:order val="1"/>
          <c:tx>
            <c:v>前瞻P/E（实际EPS口径，参考）</c:v>
          </c:tx>
          <c:spPr>
            <a:ln w="19050"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估值区间!$G$21:$G$81</c:f>
              <c:numCache>
                <c:formatCode>0.0"x"</c:formatCode>
                <c:ptCount val="6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F2-4B58-9F91-5E4E4A68EF96}"/>
            </c:ext>
          </c:extLst>
        </c:ser>
        <c:ser>
          <c:idx val="2"/>
          <c:order val="2"/>
          <c:tx>
            <c:v>均值</c:v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估值区间!$H$21:$H$81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F2-4B58-9F91-5E4E4A68EF96}"/>
            </c:ext>
          </c:extLst>
        </c:ser>
        <c:ser>
          <c:idx val="3"/>
          <c:order val="3"/>
          <c:tx>
            <c:v>+1SD</c:v>
          </c:tx>
          <c:spPr>
            <a:ln w="12700">
              <a:solidFill>
                <a:srgbClr val="CC3333"/>
              </a:solidFill>
              <a:prstDash val="dash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估值区间!$I$21:$I$81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F2-4B58-9F91-5E4E4A68EF96}"/>
            </c:ext>
          </c:extLst>
        </c:ser>
        <c:ser>
          <c:idx val="4"/>
          <c:order val="4"/>
          <c:tx>
            <c:v>−1SD</c:v>
          </c:tx>
          <c:spPr>
            <a:ln w="12700">
              <a:solidFill>
                <a:srgbClr val="CC3333"/>
              </a:solidFill>
              <a:prstDash val="dash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估值区间!$J$21:$J$81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F2-4B58-9F91-5E4E4A68EF96}"/>
            </c:ext>
          </c:extLst>
        </c:ser>
        <c:ser>
          <c:idx val="5"/>
          <c:order val="5"/>
          <c:tx>
            <c:v>+2SD</c:v>
          </c:tx>
          <c:spPr>
            <a:ln w="15875" cap="sq">
              <a:solidFill>
                <a:srgbClr val="C00000"/>
              </a:solidFill>
              <a:prstDash val="dot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估值区间!$K$21:$K$81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F2-4B58-9F91-5E4E4A68EF96}"/>
            </c:ext>
          </c:extLst>
        </c:ser>
        <c:ser>
          <c:idx val="6"/>
          <c:order val="6"/>
          <c:tx>
            <c:v>−2SD</c:v>
          </c:tx>
          <c:spPr>
            <a:ln w="15875" cap="sq">
              <a:solidFill>
                <a:srgbClr val="C00000"/>
              </a:solidFill>
              <a:prstDash val="dot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估值区间!$L$21:$L$81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F2-4B58-9F91-5E4E4A68EF96}"/>
            </c:ext>
          </c:extLst>
        </c:ser>
        <c:ser>
          <c:idx val="7"/>
          <c:order val="7"/>
          <c:tx>
            <c:v>现价（模型EPS）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504D">
                      <a:tint val="77000"/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F07D2D"/>
              </a:solidFill>
              <a:ln w="9525">
                <a:solidFill>
                  <a:srgbClr val="F07D2D"/>
                </a:solidFill>
                <a:prstDash val="solid"/>
              </a:ln>
              <a:effectLst/>
            </c:spPr>
          </c:marker>
          <c:dLbls>
            <c:dLbl>
              <c:idx val="60"/>
              <c:tx>
                <c:rich>
                  <a:bodyPr/>
                  <a:lstStyle/>
                  <a:p>
                    <a:r>
                      <a:rPr lang="zh-CN" altLang="en-US"/>
                      <a:t>现价</a:t>
                    </a:r>
                    <a:r>
                      <a:rPr lang="en-US" altLang="zh-CN"/>
                      <a:t>17.3x</a:t>
                    </a:r>
                    <a:r>
                      <a:rPr lang="zh-CN" altLang="en-US"/>
                      <a:t>（模型，</a:t>
                    </a:r>
                    <a:r>
                      <a:rPr lang="en-US" altLang="zh-CN"/>
                      <a:t>+2.8SD</a:t>
                    </a:r>
                    <a:r>
                      <a:rPr lang="zh-CN" altLang="en-US"/>
                      <a:t>）</a:t>
                    </a:r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359-410D-97C5-13805AFD3E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估值区间!$M$21:$M$81</c:f>
              <c:numCache>
                <c:formatCode>0.0"x"</c:formatCode>
                <c:ptCount val="6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59-410D-97C5-13805AFD3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279520"/>
        <c:axId val="1492268960"/>
      </c:lineChart>
      <c:catAx>
        <c:axId val="1492279520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crossAx val="1492268960"/>
        <c:crosses val="autoZero"/>
        <c:auto val="1"/>
        <c:lblAlgn val="ctr"/>
        <c:lblOffset val="100"/>
        <c:tickLblSkip val="6"/>
        <c:noMultiLvlLbl val="0"/>
      </c:catAx>
      <c:valAx>
        <c:axId val="1492268960"/>
        <c:scaling>
          <c:orientation val="minMax"/>
          <c:max val="25"/>
          <c:min val="0"/>
        </c:scaling>
        <c:delete val="0"/>
        <c:axPos val="l"/>
        <c:majorGridlines/>
        <c:numFmt formatCode="0&quot;x&quot;" sourceLinked="0"/>
        <c:majorTickMark val="out"/>
        <c:minorTickMark val="none"/>
        <c:tickLblPos val="nextTo"/>
        <c:crossAx val="1492279520"/>
        <c:crosses val="autoZero"/>
        <c:crossBetween val="between"/>
        <c:majorUnit val="5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zh-CN" altLang="en-US" sz="1100"/>
              <a:t>隆鑫通用 </a:t>
            </a:r>
            <a:r>
              <a:rPr lang="en-US" altLang="zh-CN" sz="1100"/>
              <a:t>5</a:t>
            </a:r>
            <a:r>
              <a:rPr lang="zh-CN" altLang="en-US" sz="1100"/>
              <a:t>年前瞻</a:t>
            </a:r>
            <a:r>
              <a:rPr lang="en-US" sz="1100"/>
              <a:t>P/E</a:t>
            </a:r>
            <a:r>
              <a:rPr lang="zh-CN" altLang="en-US" sz="1100"/>
              <a:t>区间（均值</a:t>
            </a:r>
            <a:r>
              <a:rPr lang="en-US" altLang="zh-CN" sz="1100"/>
              <a:t>12.2</a:t>
            </a:r>
            <a:r>
              <a:rPr lang="en-US" sz="1100"/>
              <a:t>x，±1SD 10.4–14.0x，±2SD 8.5–15.9x）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前瞻P/E（一致预期）</c:v>
          </c:tx>
          <c:spPr>
            <a:ln w="31750">
              <a:solidFill>
                <a:srgbClr val="1F3F7F"/>
              </a:solidFill>
              <a:prstDash val="solid"/>
            </a:ln>
          </c:spPr>
          <c:marker>
            <c:symbol val="none"/>
          </c:marker>
          <c:dPt>
            <c:idx val="60"/>
            <c:marker>
              <c:symbol val="circle"/>
              <c:size val="7"/>
            </c:marker>
            <c:bubble3D val="0"/>
            <c:extLst>
              <c:ext xmlns:c16="http://schemas.microsoft.com/office/drawing/2014/chart" uri="{C3380CC4-5D6E-409C-BE32-E72D297353CC}">
                <c16:uniqueId val="{00000008-426A-41D4-8761-EEAC2BB0D7DD}"/>
              </c:ext>
            </c:extLst>
          </c:dPt>
          <c:dLbls>
            <c:dLbl>
              <c:idx val="60"/>
              <c:tx>
                <c:rich>
                  <a:bodyPr/>
                  <a:lstStyle/>
                  <a:p>
                    <a:r>
                      <a:rPr lang="zh-CN" altLang="en-US"/>
                      <a:t>现价</a:t>
                    </a:r>
                    <a:r>
                      <a:rPr lang="en-US" altLang="zh-CN"/>
                      <a:t>13.0x</a:t>
                    </a:r>
                    <a:r>
                      <a:rPr lang="zh-CN" altLang="en-US"/>
                      <a:t>（一致预期，</a:t>
                    </a:r>
                    <a:r>
                      <a:rPr lang="en-US" altLang="zh-CN"/>
                      <a:t>+0.4SD</a:t>
                    </a:r>
                    <a:r>
                      <a:rPr lang="zh-CN" altLang="en-US"/>
                      <a:t>）</a:t>
                    </a:r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26A-41D4-8761-EEAC2BB0D7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估值区间!$F$21:$F$81</c:f>
              <c:numCache>
                <c:formatCode>0.0"x"</c:formatCode>
                <c:ptCount val="6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6A-41D4-8761-EEAC2BB0D7DD}"/>
            </c:ext>
          </c:extLst>
        </c:ser>
        <c:ser>
          <c:idx val="1"/>
          <c:order val="1"/>
          <c:tx>
            <c:v>前瞻P/E（实际EPS口径，参考）</c:v>
          </c:tx>
          <c:spPr>
            <a:ln w="19050"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估值区间!$G$21:$G$81</c:f>
              <c:numCache>
                <c:formatCode>0.0"x"</c:formatCode>
                <c:ptCount val="6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6A-41D4-8761-EEAC2BB0D7DD}"/>
            </c:ext>
          </c:extLst>
        </c:ser>
        <c:ser>
          <c:idx val="2"/>
          <c:order val="2"/>
          <c:tx>
            <c:v>均值</c:v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估值区间!$H$21:$H$81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6A-41D4-8761-EEAC2BB0D7DD}"/>
            </c:ext>
          </c:extLst>
        </c:ser>
        <c:ser>
          <c:idx val="3"/>
          <c:order val="3"/>
          <c:tx>
            <c:v>+1SD</c:v>
          </c:tx>
          <c:spPr>
            <a:ln w="12700">
              <a:solidFill>
                <a:srgbClr val="CC3333"/>
              </a:solidFill>
              <a:prstDash val="dash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估值区间!$I$21:$I$81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6A-41D4-8761-EEAC2BB0D7DD}"/>
            </c:ext>
          </c:extLst>
        </c:ser>
        <c:ser>
          <c:idx val="4"/>
          <c:order val="4"/>
          <c:tx>
            <c:v>−1SD</c:v>
          </c:tx>
          <c:spPr>
            <a:ln w="12700">
              <a:solidFill>
                <a:srgbClr val="CC3333"/>
              </a:solidFill>
              <a:prstDash val="dash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估值区间!$J$21:$J$81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6A-41D4-8761-EEAC2BB0D7DD}"/>
            </c:ext>
          </c:extLst>
        </c:ser>
        <c:ser>
          <c:idx val="5"/>
          <c:order val="5"/>
          <c:tx>
            <c:v>+2SD</c:v>
          </c:tx>
          <c:spPr>
            <a:ln w="15875" cap="sq">
              <a:solidFill>
                <a:srgbClr val="C00000"/>
              </a:solidFill>
              <a:prstDash val="dot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估值区间!$K$21:$K$81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6A-41D4-8761-EEAC2BB0D7DD}"/>
            </c:ext>
          </c:extLst>
        </c:ser>
        <c:ser>
          <c:idx val="6"/>
          <c:order val="6"/>
          <c:tx>
            <c:v>−2SD</c:v>
          </c:tx>
          <c:spPr>
            <a:ln w="15875" cap="sq">
              <a:solidFill>
                <a:srgbClr val="C00000"/>
              </a:solidFill>
              <a:prstDash val="dot"/>
            </a:ln>
          </c:spPr>
          <c:marker>
            <c:symbol val="none"/>
          </c:marker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估值区间!$L$21:$L$81</c:f>
              <c:numCache>
                <c:formatCode>0.0"x"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6A-41D4-8761-EEAC2BB0D7DD}"/>
            </c:ext>
          </c:extLst>
        </c:ser>
        <c:ser>
          <c:idx val="7"/>
          <c:order val="7"/>
          <c:tx>
            <c:v>现价（模型EPS）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504D">
                      <a:tint val="77000"/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F07D2D"/>
              </a:solidFill>
              <a:ln w="9525">
                <a:solidFill>
                  <a:srgbClr val="F07D2D"/>
                </a:solidFill>
                <a:prstDash val="solid"/>
              </a:ln>
              <a:effectLst/>
            </c:spPr>
          </c:marker>
          <c:dLbls>
            <c:dLbl>
              <c:idx val="60"/>
              <c:tx>
                <c:rich>
                  <a:bodyPr/>
                  <a:lstStyle/>
                  <a:p>
                    <a:r>
                      <a:rPr lang="zh-CN" altLang="en-US"/>
                      <a:t>现价</a:t>
                    </a:r>
                    <a:r>
                      <a:rPr lang="en-US" altLang="zh-CN"/>
                      <a:t>17.3x</a:t>
                    </a:r>
                    <a:r>
                      <a:rPr lang="zh-CN" altLang="en-US"/>
                      <a:t>（模型，</a:t>
                    </a:r>
                    <a:r>
                      <a:rPr lang="en-US" altLang="zh-CN"/>
                      <a:t>+2.8SD</a:t>
                    </a:r>
                    <a:r>
                      <a:rPr lang="zh-CN" altLang="en-US"/>
                      <a:t>）</a:t>
                    </a:r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B6C-4314-ACD0-D5260331C0A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估值区间!$A$21:$A$81</c:f>
              <c:numCache>
                <c:formatCode>@</c:formatCode>
                <c:ptCount val="61"/>
              </c:numCache>
            </c:numRef>
          </c:cat>
          <c:val>
            <c:numRef>
              <c:f>估值区间!$M$21:$M$81</c:f>
              <c:numCache>
                <c:formatCode>0.0"x"</c:formatCode>
                <c:ptCount val="6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C-4314-ACD0-D5260331C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274720"/>
        <c:axId val="1492267040"/>
      </c:lineChart>
      <c:catAx>
        <c:axId val="1492274720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crossAx val="1492267040"/>
        <c:crosses val="autoZero"/>
        <c:auto val="1"/>
        <c:lblAlgn val="ctr"/>
        <c:lblOffset val="100"/>
        <c:tickLblSkip val="6"/>
        <c:noMultiLvlLbl val="0"/>
      </c:catAx>
      <c:valAx>
        <c:axId val="1492267040"/>
        <c:scaling>
          <c:orientation val="minMax"/>
          <c:max val="25"/>
          <c:min val="0"/>
        </c:scaling>
        <c:delete val="0"/>
        <c:axPos val="l"/>
        <c:majorGridlines/>
        <c:numFmt formatCode="0&quot;x&quot;" sourceLinked="0"/>
        <c:majorTickMark val="out"/>
        <c:minorTickMark val="none"/>
        <c:tickLblPos val="nextTo"/>
        <c:crossAx val="1492274720"/>
        <c:crosses val="autoZero"/>
        <c:crossBetween val="between"/>
        <c:majorUnit val="5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5</xdr:col>
      <xdr:colOff>387350</xdr:colOff>
      <xdr:row>73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C64EC-DDC4-BF05-BCF4-A0C9DE7E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1</xdr:row>
      <xdr:rowOff>25400</xdr:rowOff>
    </xdr:from>
    <xdr:to>
      <xdr:col>19</xdr:col>
      <xdr:colOff>196850</xdr:colOff>
      <xdr:row>24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1BC948-AE56-3455-FBFF-5E9B8893A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09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D65B28-6A0A-4DED-AC02-1B93F0C7F81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5e94218-cb73-4db6-b8e4-7279df9110f4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5FD1-7323-4C44-85E0-ACCC793DAB78}">
  <dimension ref="A1:Y234"/>
  <sheetViews>
    <sheetView showGridLines="0" tabSelected="1" zoomScale="85" zoomScaleNormal="85" workbookViewId="0">
      <pane ySplit="1" topLeftCell="A2" activePane="bottomLeft" state="frozen"/>
      <selection activeCell="B1" sqref="B1"/>
      <selection pane="bottomLeft"/>
    </sheetView>
  </sheetViews>
  <sheetFormatPr defaultColWidth="12.54296875" defaultRowHeight="15"/>
  <cols>
    <col min="1" max="1" width="3.453125" style="1" customWidth="1"/>
    <col min="2" max="2" width="48.1796875" style="33" bestFit="1" customWidth="1"/>
    <col min="3" max="3" width="41.90625" style="45" bestFit="1" customWidth="1"/>
    <col min="4" max="12" width="14.54296875" style="33" customWidth="1"/>
    <col min="13" max="13" width="12.36328125" style="33" customWidth="1"/>
    <col min="14" max="19" width="12.54296875" style="1"/>
    <col min="20" max="20" width="2.6328125" style="1" customWidth="1"/>
    <col min="21" max="22" width="12.54296875" style="1"/>
    <col min="23" max="23" width="2.6328125" style="1" customWidth="1"/>
    <col min="24" max="16384" width="12.54296875" style="1"/>
  </cols>
  <sheetData>
    <row r="1" spans="1:25" s="5" customFormat="1">
      <c r="A1" s="1"/>
      <c r="B1" s="2" t="s">
        <v>0</v>
      </c>
      <c r="C1" s="3" t="s">
        <v>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2"/>
      <c r="L1" s="4" t="s">
        <v>188</v>
      </c>
      <c r="M1" s="4" t="s">
        <v>361</v>
      </c>
      <c r="N1" s="4" t="s">
        <v>362</v>
      </c>
      <c r="O1" s="4" t="s">
        <v>363</v>
      </c>
      <c r="P1" s="4" t="s">
        <v>187</v>
      </c>
      <c r="Q1" s="4" t="s">
        <v>208</v>
      </c>
      <c r="R1" s="4" t="s">
        <v>209</v>
      </c>
      <c r="S1" s="4" t="s">
        <v>375</v>
      </c>
      <c r="T1"/>
      <c r="U1" s="4" t="s">
        <v>364</v>
      </c>
      <c r="V1" s="4" t="s">
        <v>365</v>
      </c>
      <c r="W1"/>
      <c r="X1" s="4" t="s">
        <v>366</v>
      </c>
      <c r="Y1" s="4" t="s">
        <v>367</v>
      </c>
    </row>
    <row r="2" spans="1:25" s="5" customFormat="1">
      <c r="A2" s="1"/>
      <c r="B2" s="6"/>
      <c r="C2" s="7"/>
      <c r="D2" s="131" t="s">
        <v>2</v>
      </c>
      <c r="E2" s="131" t="s">
        <v>2</v>
      </c>
      <c r="F2" s="131" t="s">
        <v>2</v>
      </c>
      <c r="G2" s="131" t="s">
        <v>2</v>
      </c>
      <c r="H2" s="131" t="s">
        <v>3</v>
      </c>
      <c r="I2" s="131" t="s">
        <v>3</v>
      </c>
      <c r="J2" s="131" t="s">
        <v>3</v>
      </c>
      <c r="K2" s="8"/>
      <c r="L2" s="131" t="s">
        <v>2</v>
      </c>
      <c r="M2" s="131" t="s">
        <v>2</v>
      </c>
      <c r="N2" s="131" t="s">
        <v>2</v>
      </c>
      <c r="O2" s="131" t="s">
        <v>2</v>
      </c>
      <c r="P2" s="131" t="s">
        <v>2</v>
      </c>
      <c r="Q2" s="131" t="s">
        <v>2</v>
      </c>
      <c r="R2" s="131" t="s">
        <v>2</v>
      </c>
      <c r="S2" s="131" t="s">
        <v>3</v>
      </c>
      <c r="T2"/>
      <c r="U2" s="131" t="s">
        <v>2</v>
      </c>
      <c r="V2" s="131" t="s">
        <v>2</v>
      </c>
      <c r="W2"/>
      <c r="X2" s="131" t="s">
        <v>2</v>
      </c>
      <c r="Y2" s="131" t="s">
        <v>2</v>
      </c>
    </row>
    <row r="3" spans="1:25" s="5" customFormat="1" ht="17.5">
      <c r="A3" s="1"/>
      <c r="B3" s="135" t="s">
        <v>4</v>
      </c>
      <c r="C3" s="136" t="s">
        <v>5</v>
      </c>
      <c r="D3" s="11"/>
      <c r="E3" s="11"/>
      <c r="F3" s="11"/>
      <c r="G3" s="6"/>
      <c r="H3" s="6"/>
      <c r="I3" s="6"/>
      <c r="J3" s="6"/>
      <c r="K3" s="6"/>
      <c r="L3" s="11"/>
      <c r="M3" s="11"/>
      <c r="N3" s="11"/>
      <c r="O3" s="11"/>
      <c r="P3" s="11"/>
      <c r="Q3" s="11"/>
      <c r="R3" s="11"/>
      <c r="S3" s="6"/>
      <c r="T3"/>
      <c r="U3" s="11"/>
      <c r="V3" s="11"/>
      <c r="W3"/>
      <c r="X3" s="11"/>
      <c r="Y3" s="11"/>
    </row>
    <row r="4" spans="1:25" s="15" customFormat="1">
      <c r="A4" s="1"/>
      <c r="B4" s="12" t="s">
        <v>6</v>
      </c>
      <c r="C4" s="13" t="s">
        <v>186</v>
      </c>
      <c r="D4" s="132"/>
      <c r="E4" s="132"/>
      <c r="F4" s="132"/>
      <c r="G4" s="132"/>
      <c r="H4" s="227">
        <f>Y4+S4</f>
        <v>0</v>
      </c>
      <c r="I4" s="187">
        <f>'Revenue Projection'!H12*100000</f>
        <v>0</v>
      </c>
      <c r="J4" s="187">
        <f>'Revenue Projection'!I12*100000</f>
        <v>0</v>
      </c>
      <c r="K4" s="14"/>
      <c r="L4" s="132"/>
      <c r="M4" s="132"/>
      <c r="N4" s="132"/>
      <c r="O4" s="132"/>
      <c r="P4" s="132"/>
      <c r="Q4" s="132"/>
      <c r="R4" s="132"/>
      <c r="S4" s="187">
        <f>'Revenue Projection'!R12*100000</f>
        <v>0</v>
      </c>
      <c r="T4"/>
      <c r="U4" s="132"/>
      <c r="V4" s="132"/>
      <c r="W4"/>
      <c r="X4" s="132"/>
      <c r="Y4" s="132"/>
    </row>
    <row r="5" spans="1:25" s="21" customFormat="1">
      <c r="A5" s="16"/>
      <c r="B5" s="17" t="s">
        <v>7</v>
      </c>
      <c r="C5" s="18" t="s">
        <v>8</v>
      </c>
      <c r="D5" s="19"/>
      <c r="E5" s="19" t="e">
        <f>E4/D4-1</f>
        <v>#DIV/0!</v>
      </c>
      <c r="F5" s="19" t="e">
        <f>F4/E4-1</f>
        <v>#DIV/0!</v>
      </c>
      <c r="G5" s="19" t="e">
        <f>G4/F4-1</f>
        <v>#DIV/0!</v>
      </c>
      <c r="H5" s="19" t="e">
        <f t="shared" ref="H5:J5" si="0">H4/G4-1</f>
        <v>#DIV/0!</v>
      </c>
      <c r="I5" s="19" t="e">
        <f t="shared" si="0"/>
        <v>#DIV/0!</v>
      </c>
      <c r="J5" s="19" t="e">
        <f t="shared" si="0"/>
        <v>#DIV/0!</v>
      </c>
      <c r="K5" s="20"/>
      <c r="L5" s="19"/>
      <c r="M5" s="19"/>
      <c r="N5" s="19"/>
      <c r="O5" s="19"/>
      <c r="P5" s="19" t="e">
        <f>P4/L4-1</f>
        <v>#DIV/0!</v>
      </c>
      <c r="Q5" s="19" t="e">
        <f>Q4/M4-1</f>
        <v>#DIV/0!</v>
      </c>
      <c r="R5" s="19" t="e">
        <f>R4/N4-1</f>
        <v>#DIV/0!</v>
      </c>
      <c r="S5" s="19" t="e">
        <f>S4/O4-1</f>
        <v>#DIV/0!</v>
      </c>
      <c r="T5"/>
      <c r="U5" s="19"/>
      <c r="V5" s="19" t="e">
        <f>V4/U4-1</f>
        <v>#DIV/0!</v>
      </c>
      <c r="W5"/>
      <c r="X5" s="19"/>
      <c r="Y5" s="19" t="e">
        <f>Y4/X4-1</f>
        <v>#DIV/0!</v>
      </c>
    </row>
    <row r="6" spans="1:25" s="15" customFormat="1">
      <c r="A6" s="1"/>
      <c r="B6" s="22" t="s">
        <v>9</v>
      </c>
      <c r="C6" s="23" t="s">
        <v>189</v>
      </c>
      <c r="D6" s="133"/>
      <c r="E6" s="133"/>
      <c r="F6" s="133"/>
      <c r="G6" s="133"/>
      <c r="H6" s="228">
        <f>Y6+S6</f>
        <v>0</v>
      </c>
      <c r="I6" s="192">
        <f>-'Revenue Projection'!H35*100000</f>
        <v>0</v>
      </c>
      <c r="J6" s="192">
        <f>-'Revenue Projection'!I35*100000</f>
        <v>0</v>
      </c>
      <c r="K6" s="24"/>
      <c r="L6" s="133"/>
      <c r="M6" s="133"/>
      <c r="N6" s="133"/>
      <c r="O6" s="133"/>
      <c r="P6" s="133"/>
      <c r="Q6" s="133"/>
      <c r="R6" s="133"/>
      <c r="S6" s="192">
        <f>-'Revenue Projection'!R35*100000</f>
        <v>0</v>
      </c>
      <c r="T6"/>
      <c r="U6" s="133"/>
      <c r="V6" s="133"/>
      <c r="W6"/>
      <c r="X6" s="133"/>
      <c r="Y6" s="133"/>
    </row>
    <row r="7" spans="1:25">
      <c r="B7" s="25" t="s">
        <v>10</v>
      </c>
      <c r="C7" s="26" t="s">
        <v>11</v>
      </c>
      <c r="D7" s="27">
        <f>D4+D6</f>
        <v>0</v>
      </c>
      <c r="E7" s="27">
        <f t="shared" ref="E7:J7" si="1">E4+E6</f>
        <v>0</v>
      </c>
      <c r="F7" s="27">
        <f t="shared" si="1"/>
        <v>0</v>
      </c>
      <c r="G7" s="27">
        <f t="shared" si="1"/>
        <v>0</v>
      </c>
      <c r="H7" s="27">
        <f t="shared" si="1"/>
        <v>0</v>
      </c>
      <c r="I7" s="27">
        <f t="shared" si="1"/>
        <v>0</v>
      </c>
      <c r="J7" s="27">
        <f t="shared" si="1"/>
        <v>0</v>
      </c>
      <c r="K7" s="28"/>
      <c r="L7" s="27">
        <f t="shared" ref="L7:R7" si="2">L4+L6</f>
        <v>0</v>
      </c>
      <c r="M7" s="27">
        <f t="shared" si="2"/>
        <v>0</v>
      </c>
      <c r="N7" s="27">
        <f t="shared" si="2"/>
        <v>0</v>
      </c>
      <c r="O7" s="27">
        <f t="shared" si="2"/>
        <v>0</v>
      </c>
      <c r="P7" s="27">
        <f t="shared" si="2"/>
        <v>0</v>
      </c>
      <c r="Q7" s="27">
        <f t="shared" si="2"/>
        <v>0</v>
      </c>
      <c r="R7" s="27">
        <f t="shared" si="2"/>
        <v>0</v>
      </c>
      <c r="S7" s="27">
        <f t="shared" ref="S7" si="3">S4+S6</f>
        <v>0</v>
      </c>
      <c r="T7"/>
      <c r="U7" s="27">
        <f>U4+U6</f>
        <v>0</v>
      </c>
      <c r="V7" s="27">
        <f>V4+V6</f>
        <v>0</v>
      </c>
      <c r="W7"/>
      <c r="X7" s="27">
        <f>X4+X6</f>
        <v>0</v>
      </c>
      <c r="Y7" s="27">
        <f>Y4+Y6</f>
        <v>0</v>
      </c>
    </row>
    <row r="8" spans="1:25" s="21" customFormat="1">
      <c r="A8" s="16"/>
      <c r="B8" s="29" t="s">
        <v>12</v>
      </c>
      <c r="C8" s="30" t="s">
        <v>13</v>
      </c>
      <c r="D8" s="19" t="e">
        <f>D7/D4</f>
        <v>#DIV/0!</v>
      </c>
      <c r="E8" s="19" t="e">
        <f t="shared" ref="E8:J8" si="4">E7/E4</f>
        <v>#DIV/0!</v>
      </c>
      <c r="F8" s="19" t="e">
        <f t="shared" si="4"/>
        <v>#DIV/0!</v>
      </c>
      <c r="G8" s="19" t="e">
        <f t="shared" si="4"/>
        <v>#DIV/0!</v>
      </c>
      <c r="H8" s="19" t="e">
        <f t="shared" si="4"/>
        <v>#DIV/0!</v>
      </c>
      <c r="I8" s="19" t="e">
        <f t="shared" si="4"/>
        <v>#DIV/0!</v>
      </c>
      <c r="J8" s="19" t="e">
        <f t="shared" si="4"/>
        <v>#DIV/0!</v>
      </c>
      <c r="K8" s="20"/>
      <c r="L8" s="19" t="e">
        <f t="shared" ref="L8:R8" si="5">L7/L4</f>
        <v>#DIV/0!</v>
      </c>
      <c r="M8" s="19" t="e">
        <f t="shared" si="5"/>
        <v>#DIV/0!</v>
      </c>
      <c r="N8" s="19" t="e">
        <f t="shared" si="5"/>
        <v>#DIV/0!</v>
      </c>
      <c r="O8" s="19" t="e">
        <f t="shared" si="5"/>
        <v>#DIV/0!</v>
      </c>
      <c r="P8" s="19" t="e">
        <f t="shared" si="5"/>
        <v>#DIV/0!</v>
      </c>
      <c r="Q8" s="19" t="e">
        <f t="shared" si="5"/>
        <v>#DIV/0!</v>
      </c>
      <c r="R8" s="19" t="e">
        <f t="shared" si="5"/>
        <v>#DIV/0!</v>
      </c>
      <c r="S8" s="19" t="e">
        <f t="shared" ref="S8" si="6">S7/S4</f>
        <v>#DIV/0!</v>
      </c>
      <c r="T8"/>
      <c r="U8" s="19" t="e">
        <f>U7/U4</f>
        <v>#DIV/0!</v>
      </c>
      <c r="V8" s="19" t="e">
        <f>V7/V4</f>
        <v>#DIV/0!</v>
      </c>
      <c r="W8"/>
      <c r="X8" s="19" t="e">
        <f>X7/X4</f>
        <v>#DIV/0!</v>
      </c>
      <c r="Y8" s="19" t="e">
        <f>Y7/Y4</f>
        <v>#DIV/0!</v>
      </c>
    </row>
    <row r="9" spans="1:25">
      <c r="B9" s="25"/>
      <c r="C9" s="26"/>
      <c r="D9" s="27"/>
      <c r="E9" s="27"/>
      <c r="F9" s="27"/>
      <c r="G9" s="32"/>
      <c r="H9" s="32"/>
      <c r="I9" s="32"/>
      <c r="J9" s="32"/>
      <c r="K9" s="28"/>
      <c r="L9" s="27"/>
      <c r="M9" s="27"/>
      <c r="N9" s="27"/>
      <c r="O9" s="27"/>
      <c r="P9" s="27"/>
      <c r="Q9" s="27"/>
      <c r="R9" s="27"/>
      <c r="S9" s="27"/>
      <c r="T9"/>
      <c r="U9" s="27"/>
      <c r="V9" s="27"/>
      <c r="W9"/>
      <c r="X9" s="27"/>
      <c r="Y9" s="27"/>
    </row>
    <row r="10" spans="1:25">
      <c r="B10" s="34" t="s">
        <v>199</v>
      </c>
      <c r="C10" s="35" t="s">
        <v>190</v>
      </c>
      <c r="D10" s="134"/>
      <c r="E10" s="134"/>
      <c r="F10" s="134"/>
      <c r="G10" s="134"/>
      <c r="H10" s="229" t="e">
        <f>Y10+S10</f>
        <v>#DIV/0!</v>
      </c>
      <c r="I10" s="37" t="e">
        <f t="shared" ref="I10:J10" si="7">-I11*I4</f>
        <v>#DIV/0!</v>
      </c>
      <c r="J10" s="37" t="e">
        <f t="shared" si="7"/>
        <v>#DIV/0!</v>
      </c>
      <c r="K10" s="28"/>
      <c r="L10" s="134"/>
      <c r="M10" s="134"/>
      <c r="N10" s="134"/>
      <c r="O10" s="134"/>
      <c r="P10" s="134"/>
      <c r="Q10" s="134"/>
      <c r="R10" s="134"/>
      <c r="S10" s="221" t="e">
        <f>O10/O4*S4</f>
        <v>#DIV/0!</v>
      </c>
      <c r="T10"/>
      <c r="U10" s="134"/>
      <c r="V10" s="134"/>
      <c r="W10"/>
      <c r="X10" s="134"/>
      <c r="Y10" s="134"/>
    </row>
    <row r="11" spans="1:25" s="21" customFormat="1">
      <c r="A11" s="16"/>
      <c r="B11" s="29" t="s">
        <v>14</v>
      </c>
      <c r="C11" s="30" t="s">
        <v>15</v>
      </c>
      <c r="D11" s="19" t="e">
        <f t="shared" ref="D11:F11" si="8">-D10/D4</f>
        <v>#DIV/0!</v>
      </c>
      <c r="E11" s="19" t="e">
        <f t="shared" si="8"/>
        <v>#DIV/0!</v>
      </c>
      <c r="F11" s="19" t="e">
        <f t="shared" si="8"/>
        <v>#DIV/0!</v>
      </c>
      <c r="G11" s="19" t="e">
        <f>-G10/G4</f>
        <v>#DIV/0!</v>
      </c>
      <c r="H11" s="230" t="e">
        <f>-H10/H4</f>
        <v>#DIV/0!</v>
      </c>
      <c r="I11" s="31" t="e">
        <f t="shared" ref="I11:J23" si="9">H11</f>
        <v>#DIV/0!</v>
      </c>
      <c r="J11" s="31" t="e">
        <f t="shared" si="9"/>
        <v>#DIV/0!</v>
      </c>
      <c r="K11" s="20"/>
      <c r="L11" s="19" t="e">
        <f t="shared" ref="L11:R11" si="10">-L10/L4</f>
        <v>#DIV/0!</v>
      </c>
      <c r="M11" s="19" t="e">
        <f t="shared" si="10"/>
        <v>#DIV/0!</v>
      </c>
      <c r="N11" s="19" t="e">
        <f t="shared" si="10"/>
        <v>#DIV/0!</v>
      </c>
      <c r="O11" s="19" t="e">
        <f t="shared" si="10"/>
        <v>#DIV/0!</v>
      </c>
      <c r="P11" s="19" t="e">
        <f t="shared" si="10"/>
        <v>#DIV/0!</v>
      </c>
      <c r="Q11" s="19" t="e">
        <f t="shared" si="10"/>
        <v>#DIV/0!</v>
      </c>
      <c r="R11" s="19" t="e">
        <f t="shared" si="10"/>
        <v>#DIV/0!</v>
      </c>
      <c r="S11" s="230" t="e">
        <f>-S10/S4</f>
        <v>#DIV/0!</v>
      </c>
      <c r="T11"/>
      <c r="U11" s="19" t="e">
        <f>-U10/U4</f>
        <v>#DIV/0!</v>
      </c>
      <c r="V11" s="19" t="e">
        <f>-V10/V4</f>
        <v>#DIV/0!</v>
      </c>
      <c r="W11"/>
      <c r="X11" s="19" t="e">
        <f>-X10/X4</f>
        <v>#DIV/0!</v>
      </c>
      <c r="Y11" s="19" t="e">
        <f>-Y10/Y4</f>
        <v>#DIV/0!</v>
      </c>
    </row>
    <row r="12" spans="1:25">
      <c r="B12" s="34" t="s">
        <v>159</v>
      </c>
      <c r="C12" s="35" t="s">
        <v>191</v>
      </c>
      <c r="D12" s="134"/>
      <c r="E12" s="134"/>
      <c r="F12" s="134"/>
      <c r="G12" s="134"/>
      <c r="H12" s="229" t="e">
        <f>Y12+S12</f>
        <v>#DIV/0!</v>
      </c>
      <c r="I12" s="37" t="e">
        <f t="shared" ref="I12:J12" si="11">-I13*I4</f>
        <v>#DIV/0!</v>
      </c>
      <c r="J12" s="37" t="e">
        <f t="shared" si="11"/>
        <v>#DIV/0!</v>
      </c>
      <c r="K12" s="28"/>
      <c r="L12" s="134"/>
      <c r="M12" s="134"/>
      <c r="N12" s="134"/>
      <c r="O12" s="134"/>
      <c r="P12" s="134"/>
      <c r="Q12" s="134"/>
      <c r="R12" s="134"/>
      <c r="S12" s="221" t="e">
        <f>O12/O4*S4</f>
        <v>#DIV/0!</v>
      </c>
      <c r="T12"/>
      <c r="U12" s="134"/>
      <c r="V12" s="134"/>
      <c r="W12"/>
      <c r="X12" s="134"/>
      <c r="Y12" s="134"/>
    </row>
    <row r="13" spans="1:25" s="21" customFormat="1">
      <c r="A13" s="16"/>
      <c r="B13" s="29" t="s">
        <v>14</v>
      </c>
      <c r="C13" s="30" t="s">
        <v>15</v>
      </c>
      <c r="D13" s="19" t="e">
        <f t="shared" ref="D13:F13" si="12">-D12/D4</f>
        <v>#DIV/0!</v>
      </c>
      <c r="E13" s="19" t="e">
        <f t="shared" si="12"/>
        <v>#DIV/0!</v>
      </c>
      <c r="F13" s="19" t="e">
        <f t="shared" si="12"/>
        <v>#DIV/0!</v>
      </c>
      <c r="G13" s="19" t="e">
        <f>-G12/G4</f>
        <v>#DIV/0!</v>
      </c>
      <c r="H13" s="230" t="e">
        <f>-H12/H4</f>
        <v>#DIV/0!</v>
      </c>
      <c r="I13" s="31" t="e">
        <f t="shared" si="9"/>
        <v>#DIV/0!</v>
      </c>
      <c r="J13" s="31" t="e">
        <f t="shared" si="9"/>
        <v>#DIV/0!</v>
      </c>
      <c r="K13" s="20"/>
      <c r="L13" s="19" t="e">
        <f t="shared" ref="L13:R13" si="13">-L12/L4</f>
        <v>#DIV/0!</v>
      </c>
      <c r="M13" s="19" t="e">
        <f t="shared" si="13"/>
        <v>#DIV/0!</v>
      </c>
      <c r="N13" s="19" t="e">
        <f t="shared" si="13"/>
        <v>#DIV/0!</v>
      </c>
      <c r="O13" s="19" t="e">
        <f t="shared" si="13"/>
        <v>#DIV/0!</v>
      </c>
      <c r="P13" s="19" t="e">
        <f t="shared" si="13"/>
        <v>#DIV/0!</v>
      </c>
      <c r="Q13" s="19" t="e">
        <f t="shared" si="13"/>
        <v>#DIV/0!</v>
      </c>
      <c r="R13" s="19" t="e">
        <f t="shared" si="13"/>
        <v>#DIV/0!</v>
      </c>
      <c r="S13" s="230" t="e">
        <f>-S12/S4</f>
        <v>#DIV/0!</v>
      </c>
      <c r="T13"/>
      <c r="U13" s="19" t="e">
        <f>-U12/U4</f>
        <v>#DIV/0!</v>
      </c>
      <c r="V13" s="19" t="e">
        <f>-V12/V4</f>
        <v>#DIV/0!</v>
      </c>
      <c r="W13"/>
      <c r="X13" s="19" t="e">
        <f>-X12/X4</f>
        <v>#DIV/0!</v>
      </c>
      <c r="Y13" s="19" t="e">
        <f>-Y12/Y4</f>
        <v>#DIV/0!</v>
      </c>
    </row>
    <row r="14" spans="1:25">
      <c r="B14" s="34" t="s">
        <v>16</v>
      </c>
      <c r="C14" s="35" t="s">
        <v>192</v>
      </c>
      <c r="D14" s="134"/>
      <c r="E14" s="134"/>
      <c r="F14" s="134"/>
      <c r="G14" s="134"/>
      <c r="H14" s="229" t="e">
        <f>Y14+S14</f>
        <v>#DIV/0!</v>
      </c>
      <c r="I14" s="273" t="e">
        <f>-I15*I4</f>
        <v>#DIV/0!</v>
      </c>
      <c r="J14" s="273" t="e">
        <f>-J15*J4</f>
        <v>#DIV/0!</v>
      </c>
      <c r="K14" s="28"/>
      <c r="L14" s="134"/>
      <c r="M14" s="134"/>
      <c r="N14" s="134"/>
      <c r="O14" s="134"/>
      <c r="P14" s="134"/>
      <c r="Q14" s="134"/>
      <c r="R14" s="134"/>
      <c r="S14" s="221" t="e">
        <f>O14/O4*S4</f>
        <v>#DIV/0!</v>
      </c>
      <c r="T14"/>
      <c r="U14" s="134"/>
      <c r="V14" s="134"/>
      <c r="W14"/>
      <c r="X14" s="134"/>
      <c r="Y14" s="134"/>
    </row>
    <row r="15" spans="1:25" s="21" customFormat="1">
      <c r="A15" s="16"/>
      <c r="B15" s="29" t="s">
        <v>14</v>
      </c>
      <c r="C15" s="30" t="s">
        <v>15</v>
      </c>
      <c r="D15" s="19" t="e">
        <f>-D14/D4</f>
        <v>#DIV/0!</v>
      </c>
      <c r="E15" s="19" t="e">
        <f t="shared" ref="E15:G15" si="14">-E14/E4</f>
        <v>#DIV/0!</v>
      </c>
      <c r="F15" s="19" t="e">
        <f t="shared" si="14"/>
        <v>#DIV/0!</v>
      </c>
      <c r="G15" s="19" t="e">
        <f t="shared" si="14"/>
        <v>#DIV/0!</v>
      </c>
      <c r="H15" s="230" t="e">
        <f>-H14/H4</f>
        <v>#DIV/0!</v>
      </c>
      <c r="I15" s="31" t="e">
        <f>H15</f>
        <v>#DIV/0!</v>
      </c>
      <c r="J15" s="31" t="e">
        <f>I15</f>
        <v>#DIV/0!</v>
      </c>
      <c r="K15" s="20"/>
      <c r="L15" s="19" t="e">
        <f t="shared" ref="L15:M15" si="15">-L14/L4</f>
        <v>#DIV/0!</v>
      </c>
      <c r="M15" s="19" t="e">
        <f t="shared" si="15"/>
        <v>#DIV/0!</v>
      </c>
      <c r="N15" s="19" t="e">
        <f t="shared" ref="N15:P15" si="16">-N14/N4</f>
        <v>#DIV/0!</v>
      </c>
      <c r="O15" s="19" t="e">
        <f t="shared" ref="O15" si="17">-O14/O4</f>
        <v>#DIV/0!</v>
      </c>
      <c r="P15" s="19" t="e">
        <f t="shared" si="16"/>
        <v>#DIV/0!</v>
      </c>
      <c r="Q15" s="19" t="e">
        <f t="shared" ref="Q15:R15" si="18">-Q14/Q4</f>
        <v>#DIV/0!</v>
      </c>
      <c r="R15" s="19" t="e">
        <f t="shared" si="18"/>
        <v>#DIV/0!</v>
      </c>
      <c r="S15" s="230" t="e">
        <f>-S14/S4</f>
        <v>#DIV/0!</v>
      </c>
      <c r="T15"/>
      <c r="U15" s="19" t="e">
        <f t="shared" ref="U15:V15" si="19">-U14/U4</f>
        <v>#DIV/0!</v>
      </c>
      <c r="V15" s="19" t="e">
        <f t="shared" si="19"/>
        <v>#DIV/0!</v>
      </c>
      <c r="W15"/>
      <c r="X15" s="19" t="e">
        <f t="shared" ref="X15:Y15" si="20">-X14/X4</f>
        <v>#DIV/0!</v>
      </c>
      <c r="Y15" s="19" t="e">
        <f t="shared" si="20"/>
        <v>#DIV/0!</v>
      </c>
    </row>
    <row r="16" spans="1:25">
      <c r="B16" s="34" t="s">
        <v>197</v>
      </c>
      <c r="C16" s="35" t="s">
        <v>193</v>
      </c>
      <c r="D16" s="134"/>
      <c r="E16" s="134"/>
      <c r="F16" s="134"/>
      <c r="G16" s="134"/>
      <c r="H16" s="229" t="e">
        <f>Y16+S16</f>
        <v>#DIV/0!</v>
      </c>
      <c r="I16" s="273" t="e">
        <f>-I17*I4</f>
        <v>#DIV/0!</v>
      </c>
      <c r="J16" s="273" t="e">
        <f>-J17*J4</f>
        <v>#DIV/0!</v>
      </c>
      <c r="K16" s="28"/>
      <c r="L16" s="134"/>
      <c r="M16" s="134"/>
      <c r="N16" s="134"/>
      <c r="O16" s="134"/>
      <c r="P16" s="134"/>
      <c r="Q16" s="134"/>
      <c r="R16" s="134"/>
      <c r="S16" s="221" t="e">
        <f>O16/O4*S4</f>
        <v>#DIV/0!</v>
      </c>
      <c r="T16"/>
      <c r="U16" s="134"/>
      <c r="V16" s="134"/>
      <c r="W16"/>
      <c r="X16" s="134"/>
      <c r="Y16" s="134"/>
    </row>
    <row r="17" spans="1:25" s="21" customFormat="1">
      <c r="A17" s="16"/>
      <c r="B17" s="29" t="s">
        <v>14</v>
      </c>
      <c r="C17" s="30" t="s">
        <v>15</v>
      </c>
      <c r="D17" s="19" t="e">
        <f>-D16/D4</f>
        <v>#DIV/0!</v>
      </c>
      <c r="E17" s="19" t="e">
        <f t="shared" ref="E17" si="21">-E16/E4</f>
        <v>#DIV/0!</v>
      </c>
      <c r="F17" s="19" t="e">
        <f t="shared" ref="F17" si="22">-F16/F4</f>
        <v>#DIV/0!</v>
      </c>
      <c r="G17" s="19" t="e">
        <f>-G16/G4</f>
        <v>#DIV/0!</v>
      </c>
      <c r="H17" s="230" t="e">
        <f>-H16/H4</f>
        <v>#DIV/0!</v>
      </c>
      <c r="I17" s="31" t="e">
        <f>H17</f>
        <v>#DIV/0!</v>
      </c>
      <c r="J17" s="31" t="e">
        <f>I17</f>
        <v>#DIV/0!</v>
      </c>
      <c r="K17" s="20"/>
      <c r="L17" s="19" t="e">
        <f t="shared" ref="L17:M17" si="23">-L16/L4</f>
        <v>#DIV/0!</v>
      </c>
      <c r="M17" s="19" t="e">
        <f t="shared" si="23"/>
        <v>#DIV/0!</v>
      </c>
      <c r="N17" s="19" t="e">
        <f t="shared" ref="N17:P17" si="24">-N16/N4</f>
        <v>#DIV/0!</v>
      </c>
      <c r="O17" s="19" t="e">
        <f t="shared" ref="O17" si="25">-O16/O4</f>
        <v>#DIV/0!</v>
      </c>
      <c r="P17" s="19" t="e">
        <f t="shared" si="24"/>
        <v>#DIV/0!</v>
      </c>
      <c r="Q17" s="19" t="e">
        <f t="shared" ref="Q17:R17" si="26">-Q16/Q4</f>
        <v>#DIV/0!</v>
      </c>
      <c r="R17" s="19" t="e">
        <f t="shared" si="26"/>
        <v>#DIV/0!</v>
      </c>
      <c r="S17" s="230" t="e">
        <f>-S16/S4</f>
        <v>#DIV/0!</v>
      </c>
      <c r="T17"/>
      <c r="U17" s="19" t="e">
        <f t="shared" ref="U17:V17" si="27">-U16/U4</f>
        <v>#DIV/0!</v>
      </c>
      <c r="V17" s="19" t="e">
        <f t="shared" si="27"/>
        <v>#DIV/0!</v>
      </c>
      <c r="W17"/>
      <c r="X17" s="19" t="e">
        <f t="shared" ref="X17:Y17" si="28">-X16/X4</f>
        <v>#DIV/0!</v>
      </c>
      <c r="Y17" s="19" t="e">
        <f t="shared" si="28"/>
        <v>#DIV/0!</v>
      </c>
    </row>
    <row r="18" spans="1:25" s="21" customFormat="1">
      <c r="A18" s="16"/>
      <c r="B18" s="34" t="s">
        <v>200</v>
      </c>
      <c r="C18" s="35" t="s">
        <v>201</v>
      </c>
      <c r="D18" s="134"/>
      <c r="E18" s="134"/>
      <c r="F18" s="134"/>
      <c r="G18" s="134"/>
      <c r="H18" s="229">
        <f>Y18+S18</f>
        <v>0</v>
      </c>
      <c r="I18" s="37" t="e">
        <f>I231</f>
        <v>#DIV/0!</v>
      </c>
      <c r="J18" s="37" t="e">
        <f>J231</f>
        <v>#DIV/0!</v>
      </c>
      <c r="K18" s="20"/>
      <c r="L18" s="134"/>
      <c r="M18" s="134"/>
      <c r="N18" s="134"/>
      <c r="O18" s="134"/>
      <c r="P18" s="134"/>
      <c r="Q18" s="134"/>
      <c r="R18" s="134"/>
      <c r="S18" s="223">
        <f>Y18/3</f>
        <v>0</v>
      </c>
      <c r="T18"/>
      <c r="U18" s="134"/>
      <c r="V18" s="134"/>
      <c r="W18"/>
      <c r="X18" s="134"/>
      <c r="Y18" s="134"/>
    </row>
    <row r="19" spans="1:25" s="21" customFormat="1">
      <c r="A19" s="16"/>
      <c r="B19" s="29" t="s">
        <v>14</v>
      </c>
      <c r="C19" s="30" t="s">
        <v>15</v>
      </c>
      <c r="D19" s="19" t="e">
        <f>D18/D4</f>
        <v>#DIV/0!</v>
      </c>
      <c r="E19" s="19" t="e">
        <f t="shared" ref="E19:F19" si="29">E18/E4</f>
        <v>#DIV/0!</v>
      </c>
      <c r="F19" s="19" t="e">
        <f t="shared" si="29"/>
        <v>#DIV/0!</v>
      </c>
      <c r="G19" s="19" t="e">
        <f>G18/G4</f>
        <v>#DIV/0!</v>
      </c>
      <c r="H19" s="19" t="e">
        <f t="shared" ref="H19:J19" si="30">H18/H4</f>
        <v>#DIV/0!</v>
      </c>
      <c r="I19" s="19" t="e">
        <f t="shared" si="30"/>
        <v>#DIV/0!</v>
      </c>
      <c r="J19" s="19" t="e">
        <f t="shared" si="30"/>
        <v>#DIV/0!</v>
      </c>
      <c r="K19" s="20"/>
      <c r="L19" s="19" t="e">
        <f t="shared" ref="L19:R19" si="31">L18/L4</f>
        <v>#DIV/0!</v>
      </c>
      <c r="M19" s="19" t="e">
        <f t="shared" si="31"/>
        <v>#DIV/0!</v>
      </c>
      <c r="N19" s="19" t="e">
        <f t="shared" si="31"/>
        <v>#DIV/0!</v>
      </c>
      <c r="O19" s="19" t="e">
        <f t="shared" si="31"/>
        <v>#DIV/0!</v>
      </c>
      <c r="P19" s="19" t="e">
        <f t="shared" si="31"/>
        <v>#DIV/0!</v>
      </c>
      <c r="Q19" s="19" t="e">
        <f t="shared" si="31"/>
        <v>#DIV/0!</v>
      </c>
      <c r="R19" s="19" t="e">
        <f t="shared" si="31"/>
        <v>#DIV/0!</v>
      </c>
      <c r="S19" s="19" t="e">
        <f t="shared" ref="S19" si="32">S18/S4</f>
        <v>#DIV/0!</v>
      </c>
      <c r="T19"/>
      <c r="U19" s="19" t="e">
        <f>U18/U4</f>
        <v>#DIV/0!</v>
      </c>
      <c r="V19" s="19" t="e">
        <f>V18/V4</f>
        <v>#DIV/0!</v>
      </c>
      <c r="W19"/>
      <c r="X19" s="19" t="e">
        <f>X18/X4</f>
        <v>#DIV/0!</v>
      </c>
      <c r="Y19" s="19" t="e">
        <f>Y18/Y4</f>
        <v>#DIV/0!</v>
      </c>
    </row>
    <row r="20" spans="1:25" s="21" customFormat="1">
      <c r="A20" s="16"/>
      <c r="B20" s="34" t="s">
        <v>198</v>
      </c>
      <c r="C20" s="35" t="s">
        <v>194</v>
      </c>
      <c r="D20" s="134"/>
      <c r="E20" s="134"/>
      <c r="F20" s="134"/>
      <c r="G20" s="134"/>
      <c r="H20" s="229">
        <f>Y20+S20</f>
        <v>0</v>
      </c>
      <c r="I20" s="37" t="e">
        <f t="shared" ref="I20:J20" si="33">-I21*I4</f>
        <v>#DIV/0!</v>
      </c>
      <c r="J20" s="37" t="e">
        <f t="shared" si="33"/>
        <v>#DIV/0!</v>
      </c>
      <c r="K20" s="20"/>
      <c r="L20" s="134"/>
      <c r="M20" s="134"/>
      <c r="N20" s="134"/>
      <c r="O20" s="134"/>
      <c r="P20" s="134"/>
      <c r="Q20" s="134"/>
      <c r="R20" s="134"/>
      <c r="S20" s="223">
        <f>Y20/3</f>
        <v>0</v>
      </c>
      <c r="T20"/>
      <c r="U20" s="134"/>
      <c r="V20" s="134"/>
      <c r="W20"/>
      <c r="X20" s="134"/>
      <c r="Y20" s="134"/>
    </row>
    <row r="21" spans="1:25" s="21" customFormat="1">
      <c r="A21" s="16"/>
      <c r="B21" s="29" t="s">
        <v>14</v>
      </c>
      <c r="C21" s="30" t="s">
        <v>15</v>
      </c>
      <c r="D21" s="19" t="e">
        <f t="shared" ref="D21:F21" si="34">D20/D4</f>
        <v>#DIV/0!</v>
      </c>
      <c r="E21" s="19" t="e">
        <f t="shared" si="34"/>
        <v>#DIV/0!</v>
      </c>
      <c r="F21" s="19" t="e">
        <f t="shared" si="34"/>
        <v>#DIV/0!</v>
      </c>
      <c r="G21" s="19" t="e">
        <f>G20/G4</f>
        <v>#DIV/0!</v>
      </c>
      <c r="H21" s="230" t="e">
        <f>H20/H4</f>
        <v>#DIV/0!</v>
      </c>
      <c r="I21" s="222" t="e">
        <f>H21</f>
        <v>#DIV/0!</v>
      </c>
      <c r="J21" s="31" t="e">
        <f t="shared" si="9"/>
        <v>#DIV/0!</v>
      </c>
      <c r="K21" s="20"/>
      <c r="L21" s="19" t="e">
        <f t="shared" ref="L21:R21" si="35">L20/L4</f>
        <v>#DIV/0!</v>
      </c>
      <c r="M21" s="19" t="e">
        <f t="shared" si="35"/>
        <v>#DIV/0!</v>
      </c>
      <c r="N21" s="19" t="e">
        <f t="shared" si="35"/>
        <v>#DIV/0!</v>
      </c>
      <c r="O21" s="19" t="e">
        <f t="shared" si="35"/>
        <v>#DIV/0!</v>
      </c>
      <c r="P21" s="19" t="e">
        <f t="shared" si="35"/>
        <v>#DIV/0!</v>
      </c>
      <c r="Q21" s="19" t="e">
        <f t="shared" si="35"/>
        <v>#DIV/0!</v>
      </c>
      <c r="R21" s="19" t="e">
        <f t="shared" si="35"/>
        <v>#DIV/0!</v>
      </c>
      <c r="S21" s="19" t="e">
        <f t="shared" ref="S21" si="36">S20/S4</f>
        <v>#DIV/0!</v>
      </c>
      <c r="T21"/>
      <c r="U21" s="19" t="e">
        <f>U20/U4</f>
        <v>#DIV/0!</v>
      </c>
      <c r="V21" s="19" t="e">
        <f>V20/V4</f>
        <v>#DIV/0!</v>
      </c>
      <c r="W21"/>
      <c r="X21" s="19" t="e">
        <f>X20/X4</f>
        <v>#DIV/0!</v>
      </c>
      <c r="Y21" s="19" t="e">
        <f>Y20/Y4</f>
        <v>#DIV/0!</v>
      </c>
    </row>
    <row r="22" spans="1:25">
      <c r="B22" s="34" t="s">
        <v>196</v>
      </c>
      <c r="C22" s="35" t="s">
        <v>195</v>
      </c>
      <c r="D22" s="134"/>
      <c r="E22" s="134"/>
      <c r="F22" s="134"/>
      <c r="G22" s="134"/>
      <c r="H22" s="229">
        <f>Y22+S22</f>
        <v>0</v>
      </c>
      <c r="I22" s="37" t="e">
        <f t="shared" ref="I22:J22" si="37">-I23*I4</f>
        <v>#DIV/0!</v>
      </c>
      <c r="J22" s="37" t="e">
        <f t="shared" si="37"/>
        <v>#DIV/0!</v>
      </c>
      <c r="K22" s="28"/>
      <c r="L22" s="134"/>
      <c r="M22" s="134"/>
      <c r="N22" s="134"/>
      <c r="O22" s="134"/>
      <c r="P22" s="134"/>
      <c r="Q22" s="134"/>
      <c r="R22" s="134"/>
      <c r="S22" s="223">
        <f>O22</f>
        <v>0</v>
      </c>
      <c r="T22"/>
      <c r="U22" s="134"/>
      <c r="V22" s="134"/>
      <c r="W22"/>
      <c r="X22" s="134"/>
      <c r="Y22" s="134"/>
    </row>
    <row r="23" spans="1:25" s="21" customFormat="1">
      <c r="A23" s="16"/>
      <c r="B23" s="29" t="s">
        <v>14</v>
      </c>
      <c r="C23" s="30" t="s">
        <v>15</v>
      </c>
      <c r="D23" s="19" t="e">
        <f>-D22/D4</f>
        <v>#DIV/0!</v>
      </c>
      <c r="E23" s="19" t="e">
        <f>-E22/E4</f>
        <v>#DIV/0!</v>
      </c>
      <c r="F23" s="19" t="e">
        <f>-F22/F4</f>
        <v>#DIV/0!</v>
      </c>
      <c r="G23" s="19" t="e">
        <f>G22/G4</f>
        <v>#DIV/0!</v>
      </c>
      <c r="H23" s="230" t="e">
        <f>H22/H4</f>
        <v>#DIV/0!</v>
      </c>
      <c r="I23" s="222" t="e">
        <f>H23</f>
        <v>#DIV/0!</v>
      </c>
      <c r="J23" s="31" t="e">
        <f t="shared" si="9"/>
        <v>#DIV/0!</v>
      </c>
      <c r="K23" s="20"/>
      <c r="L23" s="19" t="e">
        <f t="shared" ref="L23:R23" si="38">-L22/L4</f>
        <v>#DIV/0!</v>
      </c>
      <c r="M23" s="19" t="e">
        <f t="shared" si="38"/>
        <v>#DIV/0!</v>
      </c>
      <c r="N23" s="19" t="e">
        <f t="shared" si="38"/>
        <v>#DIV/0!</v>
      </c>
      <c r="O23" s="19" t="e">
        <f t="shared" si="38"/>
        <v>#DIV/0!</v>
      </c>
      <c r="P23" s="19" t="e">
        <f t="shared" si="38"/>
        <v>#DIV/0!</v>
      </c>
      <c r="Q23" s="19" t="e">
        <f t="shared" si="38"/>
        <v>#DIV/0!</v>
      </c>
      <c r="R23" s="19" t="e">
        <f t="shared" si="38"/>
        <v>#DIV/0!</v>
      </c>
      <c r="S23" s="19" t="e">
        <f t="shared" ref="S23" si="39">-S22/S4</f>
        <v>#DIV/0!</v>
      </c>
      <c r="T23"/>
      <c r="U23" s="19" t="e">
        <f>-U22/U4</f>
        <v>#DIV/0!</v>
      </c>
      <c r="V23" s="19" t="e">
        <f>-V22/V4</f>
        <v>#DIV/0!</v>
      </c>
      <c r="W23"/>
      <c r="X23" s="19" t="e">
        <f>-X22/X4</f>
        <v>#DIV/0!</v>
      </c>
      <c r="Y23" s="19" t="e">
        <f>-Y22/Y4</f>
        <v>#DIV/0!</v>
      </c>
    </row>
    <row r="24" spans="1:25">
      <c r="B24" s="25"/>
      <c r="C24" s="26"/>
      <c r="D24" s="38"/>
      <c r="E24" s="38"/>
      <c r="F24" s="38"/>
      <c r="G24" s="39"/>
      <c r="H24" s="39"/>
      <c r="I24" s="39"/>
      <c r="J24" s="39"/>
      <c r="K24" s="28"/>
      <c r="L24" s="38"/>
      <c r="M24" s="38"/>
      <c r="N24" s="38"/>
      <c r="O24" s="38"/>
      <c r="P24" s="38"/>
      <c r="Q24" s="38"/>
      <c r="R24" s="38"/>
      <c r="S24" s="38"/>
      <c r="T24"/>
      <c r="U24" s="38"/>
      <c r="V24" s="38"/>
      <c r="W24"/>
      <c r="X24" s="38"/>
      <c r="Y24" s="38"/>
    </row>
    <row r="25" spans="1:25" s="15" customFormat="1" ht="14.5">
      <c r="A25" s="1"/>
      <c r="B25" s="25" t="s">
        <v>160</v>
      </c>
      <c r="C25" s="25" t="s">
        <v>160</v>
      </c>
      <c r="D25" s="40">
        <f>D7+D12+D14+D27+D10+D16</f>
        <v>0</v>
      </c>
      <c r="E25" s="40">
        <f t="shared" ref="E25:J25" si="40">E7+E12+E14+E27+E10+E16</f>
        <v>0</v>
      </c>
      <c r="F25" s="40">
        <f t="shared" si="40"/>
        <v>0</v>
      </c>
      <c r="G25" s="40">
        <f t="shared" si="40"/>
        <v>0</v>
      </c>
      <c r="H25" s="40" t="e">
        <f t="shared" si="40"/>
        <v>#DIV/0!</v>
      </c>
      <c r="I25" s="40" t="e">
        <f t="shared" si="40"/>
        <v>#DIV/0!</v>
      </c>
      <c r="J25" s="40" t="e">
        <f t="shared" si="40"/>
        <v>#DIV/0!</v>
      </c>
      <c r="K25" s="41"/>
      <c r="L25" s="40">
        <f t="shared" ref="L25:R25" si="41">L7+L12+L14+L27</f>
        <v>0</v>
      </c>
      <c r="M25" s="40">
        <f t="shared" si="41"/>
        <v>0</v>
      </c>
      <c r="N25" s="40">
        <f t="shared" si="41"/>
        <v>0</v>
      </c>
      <c r="O25" s="40">
        <f t="shared" si="41"/>
        <v>0</v>
      </c>
      <c r="P25" s="40">
        <f t="shared" si="41"/>
        <v>0</v>
      </c>
      <c r="Q25" s="40">
        <f t="shared" si="41"/>
        <v>0</v>
      </c>
      <c r="R25" s="40">
        <f t="shared" si="41"/>
        <v>0</v>
      </c>
      <c r="S25" s="40" t="e">
        <f t="shared" ref="S25" si="42">S7+S12+S14+S27</f>
        <v>#DIV/0!</v>
      </c>
      <c r="T25"/>
      <c r="U25" s="40">
        <f>U7+U12+U14+U27</f>
        <v>0</v>
      </c>
      <c r="V25" s="40">
        <f>V7+V12+V14+V27</f>
        <v>0</v>
      </c>
      <c r="W25"/>
      <c r="X25" s="40">
        <f>X7+X12+X14+X27</f>
        <v>0</v>
      </c>
      <c r="Y25" s="40">
        <f>Y7+Y12+Y14+Y27</f>
        <v>0</v>
      </c>
    </row>
    <row r="26" spans="1:25" s="15" customFormat="1">
      <c r="A26" s="1"/>
      <c r="B26" s="29" t="s">
        <v>161</v>
      </c>
      <c r="C26" s="29" t="s">
        <v>181</v>
      </c>
      <c r="D26" s="19" t="e">
        <f t="shared" ref="D26:J26" si="43">D25/D4</f>
        <v>#DIV/0!</v>
      </c>
      <c r="E26" s="19" t="e">
        <f t="shared" si="43"/>
        <v>#DIV/0!</v>
      </c>
      <c r="F26" s="19" t="e">
        <f t="shared" si="43"/>
        <v>#DIV/0!</v>
      </c>
      <c r="G26" s="19" t="e">
        <f t="shared" si="43"/>
        <v>#DIV/0!</v>
      </c>
      <c r="H26" s="19" t="e">
        <f t="shared" si="43"/>
        <v>#DIV/0!</v>
      </c>
      <c r="I26" s="19" t="e">
        <f t="shared" si="43"/>
        <v>#DIV/0!</v>
      </c>
      <c r="J26" s="19" t="e">
        <f t="shared" si="43"/>
        <v>#DIV/0!</v>
      </c>
      <c r="K26" s="41"/>
      <c r="L26" s="19" t="e">
        <f t="shared" ref="L26:R26" si="44">L25/L4</f>
        <v>#DIV/0!</v>
      </c>
      <c r="M26" s="19" t="e">
        <f t="shared" si="44"/>
        <v>#DIV/0!</v>
      </c>
      <c r="N26" s="19" t="e">
        <f t="shared" si="44"/>
        <v>#DIV/0!</v>
      </c>
      <c r="O26" s="19" t="e">
        <f t="shared" si="44"/>
        <v>#DIV/0!</v>
      </c>
      <c r="P26" s="19" t="e">
        <f t="shared" si="44"/>
        <v>#DIV/0!</v>
      </c>
      <c r="Q26" s="19" t="e">
        <f t="shared" si="44"/>
        <v>#DIV/0!</v>
      </c>
      <c r="R26" s="19" t="e">
        <f t="shared" si="44"/>
        <v>#DIV/0!</v>
      </c>
      <c r="S26" s="19" t="e">
        <f t="shared" ref="S26" si="45">S25/S4</f>
        <v>#DIV/0!</v>
      </c>
      <c r="T26"/>
      <c r="U26" s="19" t="e">
        <f>U25/U4</f>
        <v>#DIV/0!</v>
      </c>
      <c r="V26" s="19" t="e">
        <f>V25/V4</f>
        <v>#DIV/0!</v>
      </c>
      <c r="W26"/>
      <c r="X26" s="19" t="e">
        <f>X25/X4</f>
        <v>#DIV/0!</v>
      </c>
      <c r="Y26" s="19" t="e">
        <f>Y25/Y4</f>
        <v>#DIV/0!</v>
      </c>
    </row>
    <row r="27" spans="1:25" s="15" customFormat="1">
      <c r="B27" s="22" t="s">
        <v>162</v>
      </c>
      <c r="C27" s="23" t="s">
        <v>182</v>
      </c>
      <c r="D27" s="40">
        <f>SUM(D28:D30)</f>
        <v>0</v>
      </c>
      <c r="E27" s="40">
        <f>SUM(E28:E30)</f>
        <v>0</v>
      </c>
      <c r="F27" s="40">
        <f>SUM(F28:F30)</f>
        <v>0</v>
      </c>
      <c r="G27" s="40">
        <f t="shared" ref="G27:J27" si="46">SUM(G28:G30)</f>
        <v>0</v>
      </c>
      <c r="H27" s="40" t="e">
        <f t="shared" si="46"/>
        <v>#DIV/0!</v>
      </c>
      <c r="I27" s="40" t="e">
        <f t="shared" si="46"/>
        <v>#DIV/0!</v>
      </c>
      <c r="J27" s="40" t="e">
        <f t="shared" si="46"/>
        <v>#DIV/0!</v>
      </c>
      <c r="K27" s="41"/>
      <c r="L27" s="40">
        <f t="shared" ref="L27:M27" si="47">SUM(L28:L30)</f>
        <v>0</v>
      </c>
      <c r="M27" s="40">
        <f t="shared" si="47"/>
        <v>0</v>
      </c>
      <c r="N27" s="40">
        <f t="shared" ref="N27:P27" si="48">SUM(N28:N30)</f>
        <v>0</v>
      </c>
      <c r="O27" s="40">
        <f t="shared" ref="O27" si="49">SUM(O28:O30)</f>
        <v>0</v>
      </c>
      <c r="P27" s="40">
        <f t="shared" si="48"/>
        <v>0</v>
      </c>
      <c r="Q27" s="40">
        <f t="shared" ref="Q27:R27" si="50">SUM(Q28:Q30)</f>
        <v>0</v>
      </c>
      <c r="R27" s="40">
        <f t="shared" si="50"/>
        <v>0</v>
      </c>
      <c r="S27" s="40">
        <f t="shared" ref="S27" si="51">SUM(S28:S30)</f>
        <v>0</v>
      </c>
      <c r="T27"/>
      <c r="U27" s="40">
        <f t="shared" ref="U27:V27" si="52">SUM(U28:U30)</f>
        <v>0</v>
      </c>
      <c r="V27" s="40">
        <f t="shared" si="52"/>
        <v>0</v>
      </c>
      <c r="W27"/>
      <c r="X27" s="40">
        <f t="shared" ref="X27:Y27" si="53">SUM(X28:X30)</f>
        <v>0</v>
      </c>
      <c r="Y27" s="40">
        <f t="shared" si="53"/>
        <v>0</v>
      </c>
    </row>
    <row r="28" spans="1:25" s="15" customFormat="1">
      <c r="A28" s="1"/>
      <c r="B28" s="163" t="s">
        <v>163</v>
      </c>
      <c r="C28" s="176" t="s">
        <v>183</v>
      </c>
      <c r="D28" s="134"/>
      <c r="E28" s="134"/>
      <c r="F28" s="134"/>
      <c r="G28" s="134"/>
      <c r="H28" s="38" t="e">
        <f>H67</f>
        <v>#DIV/0!</v>
      </c>
      <c r="I28" s="38" t="e">
        <f t="shared" ref="I28:J28" si="54">I67</f>
        <v>#DIV/0!</v>
      </c>
      <c r="J28" s="38" t="e">
        <f t="shared" si="54"/>
        <v>#DIV/0!</v>
      </c>
      <c r="K28" s="41"/>
      <c r="L28" s="134"/>
      <c r="M28" s="134"/>
      <c r="N28" s="134"/>
      <c r="O28" s="134"/>
      <c r="P28" s="134"/>
      <c r="Q28" s="134"/>
      <c r="R28" s="134"/>
      <c r="S28" s="134"/>
      <c r="T28"/>
      <c r="U28" s="134"/>
      <c r="V28" s="134"/>
      <c r="W28"/>
      <c r="X28" s="134"/>
      <c r="Y28" s="134"/>
    </row>
    <row r="29" spans="1:25" s="15" customFormat="1">
      <c r="A29" s="1"/>
      <c r="B29" s="163" t="s">
        <v>165</v>
      </c>
      <c r="C29" s="176" t="s">
        <v>184</v>
      </c>
      <c r="D29" s="134"/>
      <c r="E29" s="134"/>
      <c r="F29" s="134"/>
      <c r="G29" s="134"/>
      <c r="H29" s="38" t="e">
        <f t="shared" ref="H29:J30" si="55">H68</f>
        <v>#DIV/0!</v>
      </c>
      <c r="I29" s="38" t="e">
        <f t="shared" si="55"/>
        <v>#DIV/0!</v>
      </c>
      <c r="J29" s="38" t="e">
        <f t="shared" si="55"/>
        <v>#DIV/0!</v>
      </c>
      <c r="K29" s="41"/>
      <c r="L29" s="134"/>
      <c r="M29" s="134"/>
      <c r="N29" s="134"/>
      <c r="O29" s="134"/>
      <c r="P29" s="134"/>
      <c r="Q29" s="134"/>
      <c r="R29" s="134"/>
      <c r="S29" s="134"/>
      <c r="T29"/>
      <c r="U29" s="134"/>
      <c r="V29" s="134"/>
      <c r="W29"/>
      <c r="X29" s="134"/>
      <c r="Y29" s="134"/>
    </row>
    <row r="30" spans="1:25" s="15" customFormat="1">
      <c r="A30" s="1"/>
      <c r="B30" s="163" t="s">
        <v>166</v>
      </c>
      <c r="C30" s="176" t="s">
        <v>185</v>
      </c>
      <c r="D30" s="134"/>
      <c r="E30" s="134"/>
      <c r="F30" s="134"/>
      <c r="G30" s="134"/>
      <c r="H30" s="38" t="e">
        <f t="shared" si="55"/>
        <v>#DIV/0!</v>
      </c>
      <c r="I30" s="38" t="e">
        <f t="shared" si="55"/>
        <v>#DIV/0!</v>
      </c>
      <c r="J30" s="38" t="e">
        <f t="shared" si="55"/>
        <v>#DIV/0!</v>
      </c>
      <c r="K30" s="41"/>
      <c r="L30" s="134"/>
      <c r="M30" s="134"/>
      <c r="N30" s="134"/>
      <c r="O30" s="134"/>
      <c r="P30" s="134"/>
      <c r="Q30" s="134"/>
      <c r="R30" s="134"/>
      <c r="S30" s="134"/>
      <c r="T30"/>
      <c r="U30" s="134"/>
      <c r="V30" s="134"/>
      <c r="W30"/>
      <c r="X30" s="134"/>
      <c r="Y30" s="134"/>
    </row>
    <row r="31" spans="1:25" s="15" customFormat="1">
      <c r="A31" s="1"/>
      <c r="B31" s="25"/>
      <c r="C31" s="26"/>
      <c r="D31" s="40"/>
      <c r="E31" s="40"/>
      <c r="F31" s="40"/>
      <c r="G31" s="40"/>
      <c r="H31" s="40"/>
      <c r="I31" s="40"/>
      <c r="J31" s="40"/>
      <c r="K31" s="41"/>
      <c r="L31" s="40"/>
      <c r="M31" s="40"/>
      <c r="N31" s="40"/>
      <c r="O31" s="40"/>
      <c r="P31" s="40"/>
      <c r="Q31" s="40"/>
      <c r="R31" s="40"/>
      <c r="S31" s="40"/>
      <c r="T31"/>
      <c r="U31" s="40"/>
      <c r="V31" s="40"/>
      <c r="W31"/>
      <c r="X31" s="40"/>
      <c r="Y31" s="40"/>
    </row>
    <row r="32" spans="1:25" s="15" customFormat="1">
      <c r="A32" s="1"/>
      <c r="B32" s="25" t="s">
        <v>19</v>
      </c>
      <c r="C32" s="26" t="s">
        <v>20</v>
      </c>
      <c r="D32" s="40">
        <f t="shared" ref="D32:F32" si="56">D7+D10+D12+D14+D16+D18+D20+D22</f>
        <v>0</v>
      </c>
      <c r="E32" s="40">
        <f t="shared" si="56"/>
        <v>0</v>
      </c>
      <c r="F32" s="40">
        <f t="shared" si="56"/>
        <v>0</v>
      </c>
      <c r="G32" s="40">
        <f>G7+G10+G12+G14+G16+G18+G20+G22</f>
        <v>0</v>
      </c>
      <c r="H32" s="40" t="e">
        <f>H7+H10+H12+H14+H16+H18+H20+H22</f>
        <v>#DIV/0!</v>
      </c>
      <c r="I32" s="40" t="e">
        <f t="shared" ref="I32:J32" si="57">I7+I10+I12+I14+I16+I18+I20+I22</f>
        <v>#DIV/0!</v>
      </c>
      <c r="J32" s="40" t="e">
        <f t="shared" si="57"/>
        <v>#DIV/0!</v>
      </c>
      <c r="K32" s="41"/>
      <c r="L32" s="40">
        <f t="shared" ref="L32:R32" si="58">L7+L10+L12+L14+L16+L18+L20+L22</f>
        <v>0</v>
      </c>
      <c r="M32" s="40">
        <f t="shared" si="58"/>
        <v>0</v>
      </c>
      <c r="N32" s="40">
        <f t="shared" si="58"/>
        <v>0</v>
      </c>
      <c r="O32" s="40">
        <f t="shared" si="58"/>
        <v>0</v>
      </c>
      <c r="P32" s="40">
        <f t="shared" si="58"/>
        <v>0</v>
      </c>
      <c r="Q32" s="40">
        <f t="shared" si="58"/>
        <v>0</v>
      </c>
      <c r="R32" s="40">
        <f t="shared" si="58"/>
        <v>0</v>
      </c>
      <c r="S32" s="40" t="e">
        <f t="shared" ref="S32" si="59">S7+S10+S12+S14+S16+S18+S20+S22</f>
        <v>#DIV/0!</v>
      </c>
      <c r="T32"/>
      <c r="U32" s="40">
        <f>U7+U10+U12+U14+U16+U18+U20+U22</f>
        <v>0</v>
      </c>
      <c r="V32" s="40">
        <f>V7+V10+V12+V14+V16+V18+V20+V22</f>
        <v>0</v>
      </c>
      <c r="W32"/>
      <c r="X32" s="40">
        <f>X7+X10+X12+X14+X16+X18+X20+X22</f>
        <v>0</v>
      </c>
      <c r="Y32" s="40">
        <f>Y7+Y10+Y12+Y14+Y16+Y18+Y20+Y22</f>
        <v>0</v>
      </c>
    </row>
    <row r="33" spans="1:25">
      <c r="B33" s="34" t="s">
        <v>21</v>
      </c>
      <c r="C33" s="35" t="s">
        <v>22</v>
      </c>
      <c r="D33" s="137"/>
      <c r="E33" s="137"/>
      <c r="F33" s="137"/>
      <c r="G33" s="137"/>
      <c r="H33" s="224" t="e">
        <f>Y33+S33</f>
        <v>#DIV/0!</v>
      </c>
      <c r="I33" s="43" t="e">
        <f t="shared" ref="I33:J33" si="60">-I32*I34</f>
        <v>#DIV/0!</v>
      </c>
      <c r="J33" s="43" t="e">
        <f t="shared" si="60"/>
        <v>#DIV/0!</v>
      </c>
      <c r="K33" s="44"/>
      <c r="L33" s="137"/>
      <c r="M33" s="137"/>
      <c r="N33" s="137"/>
      <c r="O33" s="137"/>
      <c r="P33" s="137"/>
      <c r="Q33" s="137"/>
      <c r="R33" s="137"/>
      <c r="S33" s="224" t="e">
        <f>-H34*H32-Y33</f>
        <v>#DIV/0!</v>
      </c>
      <c r="T33"/>
      <c r="U33" s="137"/>
      <c r="V33" s="137"/>
      <c r="W33"/>
      <c r="X33" s="137"/>
      <c r="Y33" s="137"/>
    </row>
    <row r="34" spans="1:25" s="21" customFormat="1">
      <c r="A34" s="16"/>
      <c r="B34" s="29" t="s">
        <v>23</v>
      </c>
      <c r="C34" s="30" t="s">
        <v>24</v>
      </c>
      <c r="D34" s="19" t="e">
        <f t="shared" ref="D34:G34" si="61">-D33/(D32)</f>
        <v>#DIV/0!</v>
      </c>
      <c r="E34" s="19" t="e">
        <f t="shared" si="61"/>
        <v>#DIV/0!</v>
      </c>
      <c r="F34" s="19" t="e">
        <f t="shared" si="61"/>
        <v>#DIV/0!</v>
      </c>
      <c r="G34" s="19" t="e">
        <f t="shared" si="61"/>
        <v>#DIV/0!</v>
      </c>
      <c r="H34" s="31" t="e">
        <f>G34</f>
        <v>#DIV/0!</v>
      </c>
      <c r="I34" s="31" t="e">
        <f t="shared" ref="I34:J34" si="62">H34</f>
        <v>#DIV/0!</v>
      </c>
      <c r="J34" s="31" t="e">
        <f t="shared" si="62"/>
        <v>#DIV/0!</v>
      </c>
      <c r="K34" s="20"/>
      <c r="L34" s="19" t="e">
        <f t="shared" ref="L34:M34" si="63">-L33/(L32)</f>
        <v>#DIV/0!</v>
      </c>
      <c r="M34" s="19" t="e">
        <f t="shared" si="63"/>
        <v>#DIV/0!</v>
      </c>
      <c r="N34" s="19" t="e">
        <f t="shared" ref="N34:P34" si="64">-N33/(N32)</f>
        <v>#DIV/0!</v>
      </c>
      <c r="O34" s="19" t="e">
        <f t="shared" ref="O34" si="65">-O33/(O32)</f>
        <v>#DIV/0!</v>
      </c>
      <c r="P34" s="19" t="e">
        <f t="shared" si="64"/>
        <v>#DIV/0!</v>
      </c>
      <c r="Q34" s="19" t="e">
        <f t="shared" ref="Q34:R34" si="66">-Q33/(Q32)</f>
        <v>#DIV/0!</v>
      </c>
      <c r="R34" s="19" t="e">
        <f t="shared" si="66"/>
        <v>#DIV/0!</v>
      </c>
      <c r="S34" s="19" t="e">
        <f t="shared" ref="S34" si="67">-S33/(S32)</f>
        <v>#DIV/0!</v>
      </c>
      <c r="T34"/>
      <c r="U34" s="19" t="e">
        <f t="shared" ref="U34:V34" si="68">-U33/(U32)</f>
        <v>#DIV/0!</v>
      </c>
      <c r="V34" s="19" t="e">
        <f t="shared" si="68"/>
        <v>#DIV/0!</v>
      </c>
      <c r="W34"/>
      <c r="X34" s="19" t="e">
        <f t="shared" ref="X34:Y34" si="69">-X33/(X32)</f>
        <v>#DIV/0!</v>
      </c>
      <c r="Y34" s="19" t="e">
        <f t="shared" si="69"/>
        <v>#DIV/0!</v>
      </c>
    </row>
    <row r="35" spans="1:25">
      <c r="D35" s="42"/>
      <c r="E35" s="42"/>
      <c r="F35" s="42"/>
      <c r="G35" s="39"/>
      <c r="H35" s="39"/>
      <c r="I35" s="39"/>
      <c r="J35" s="39"/>
      <c r="K35" s="28"/>
      <c r="L35" s="42"/>
      <c r="M35" s="42"/>
      <c r="N35" s="42"/>
      <c r="O35" s="42"/>
      <c r="P35" s="42"/>
      <c r="Q35" s="42"/>
      <c r="R35" s="42"/>
      <c r="S35" s="42"/>
      <c r="T35"/>
      <c r="U35" s="42"/>
      <c r="V35" s="42"/>
      <c r="W35"/>
      <c r="X35" s="42"/>
      <c r="Y35" s="42"/>
    </row>
    <row r="36" spans="1:25" s="15" customFormat="1" ht="15.5" thickBot="1">
      <c r="A36" s="1"/>
      <c r="B36" s="25" t="s">
        <v>25</v>
      </c>
      <c r="C36" s="26" t="s">
        <v>26</v>
      </c>
      <c r="D36" s="46">
        <f>SUM(D32:D33)</f>
        <v>0</v>
      </c>
      <c r="E36" s="46">
        <f t="shared" ref="E36:J36" si="70">SUM(E32:E33)</f>
        <v>0</v>
      </c>
      <c r="F36" s="46">
        <f t="shared" si="70"/>
        <v>0</v>
      </c>
      <c r="G36" s="46">
        <f>SUM(G32:G33)</f>
        <v>0</v>
      </c>
      <c r="H36" s="46" t="e">
        <f>SUM(H32:H33)</f>
        <v>#DIV/0!</v>
      </c>
      <c r="I36" s="46" t="e">
        <f t="shared" si="70"/>
        <v>#DIV/0!</v>
      </c>
      <c r="J36" s="46" t="e">
        <f t="shared" si="70"/>
        <v>#DIV/0!</v>
      </c>
      <c r="K36" s="47"/>
      <c r="L36" s="46">
        <f t="shared" ref="L36:M36" si="71">SUM(L32:L33)</f>
        <v>0</v>
      </c>
      <c r="M36" s="46">
        <f t="shared" si="71"/>
        <v>0</v>
      </c>
      <c r="N36" s="46">
        <f t="shared" ref="N36:P36" si="72">SUM(N32:N33)</f>
        <v>0</v>
      </c>
      <c r="O36" s="46">
        <f t="shared" ref="O36" si="73">SUM(O32:O33)</f>
        <v>0</v>
      </c>
      <c r="P36" s="46">
        <f t="shared" si="72"/>
        <v>0</v>
      </c>
      <c r="Q36" s="46">
        <f t="shared" ref="Q36:R36" si="74">SUM(Q32:Q33)</f>
        <v>0</v>
      </c>
      <c r="R36" s="46">
        <f t="shared" si="74"/>
        <v>0</v>
      </c>
      <c r="S36" s="46" t="e">
        <f t="shared" ref="S36" si="75">SUM(S32:S33)</f>
        <v>#DIV/0!</v>
      </c>
      <c r="T36"/>
      <c r="U36" s="46">
        <f t="shared" ref="U36:V36" si="76">SUM(U32:U33)</f>
        <v>0</v>
      </c>
      <c r="V36" s="46">
        <f t="shared" si="76"/>
        <v>0</v>
      </c>
      <c r="W36"/>
      <c r="X36" s="46">
        <f t="shared" ref="X36:Y36" si="77">SUM(X32:X33)</f>
        <v>0</v>
      </c>
      <c r="Y36" s="46">
        <f t="shared" si="77"/>
        <v>0</v>
      </c>
    </row>
    <row r="37" spans="1:25">
      <c r="B37" s="34" t="s">
        <v>27</v>
      </c>
      <c r="C37" s="35" t="s">
        <v>28</v>
      </c>
      <c r="D37" s="138"/>
      <c r="E37" s="138"/>
      <c r="F37" s="138"/>
      <c r="G37" s="138"/>
      <c r="H37" s="225" t="e">
        <f>Y37+S37</f>
        <v>#DIV/0!</v>
      </c>
      <c r="I37" s="42" t="e">
        <f>I36-I40</f>
        <v>#DIV/0!</v>
      </c>
      <c r="J37" s="42" t="e">
        <f t="shared" ref="J37" si="78">J36-J40</f>
        <v>#DIV/0!</v>
      </c>
      <c r="K37" s="28"/>
      <c r="L37" s="138"/>
      <c r="M37" s="138"/>
      <c r="N37" s="138"/>
      <c r="O37" s="138"/>
      <c r="P37" s="138"/>
      <c r="Q37" s="138"/>
      <c r="R37" s="138"/>
      <c r="S37" s="225" t="e">
        <f>S36-S40</f>
        <v>#DIV/0!</v>
      </c>
      <c r="T37"/>
      <c r="U37" s="138"/>
      <c r="V37" s="138"/>
      <c r="W37"/>
      <c r="X37" s="138"/>
      <c r="Y37" s="138"/>
    </row>
    <row r="38" spans="1:25" s="21" customFormat="1">
      <c r="A38" s="16"/>
      <c r="B38" s="29" t="s">
        <v>7</v>
      </c>
      <c r="C38" s="30" t="s">
        <v>8</v>
      </c>
      <c r="D38" s="19"/>
      <c r="E38" s="19" t="e">
        <f>E37/D37-1</f>
        <v>#DIV/0!</v>
      </c>
      <c r="F38" s="19" t="e">
        <f t="shared" ref="F38:J38" si="79">F37/E37-1</f>
        <v>#DIV/0!</v>
      </c>
      <c r="G38" s="19" t="e">
        <f t="shared" si="79"/>
        <v>#DIV/0!</v>
      </c>
      <c r="H38" s="19" t="e">
        <f t="shared" si="79"/>
        <v>#DIV/0!</v>
      </c>
      <c r="I38" s="19" t="e">
        <f t="shared" si="79"/>
        <v>#DIV/0!</v>
      </c>
      <c r="J38" s="19" t="e">
        <f t="shared" si="79"/>
        <v>#DIV/0!</v>
      </c>
      <c r="K38" s="20"/>
      <c r="L38" s="19"/>
      <c r="M38" s="19"/>
      <c r="N38" s="19"/>
      <c r="O38" s="19"/>
      <c r="P38" s="19" t="e">
        <f>P37/L37-1</f>
        <v>#DIV/0!</v>
      </c>
      <c r="Q38" s="19" t="e">
        <f>Q37/M37-1</f>
        <v>#DIV/0!</v>
      </c>
      <c r="R38" s="19" t="e">
        <f>R37/N37-1</f>
        <v>#DIV/0!</v>
      </c>
      <c r="S38" s="19" t="e">
        <f>S37/O37-1</f>
        <v>#DIV/0!</v>
      </c>
      <c r="T38"/>
      <c r="U38" s="19"/>
      <c r="V38" s="19" t="e">
        <f>V37/U37-1</f>
        <v>#DIV/0!</v>
      </c>
      <c r="W38"/>
      <c r="X38" s="19"/>
      <c r="Y38" s="19" t="e">
        <f>Y37/X37-1</f>
        <v>#DIV/0!</v>
      </c>
    </row>
    <row r="39" spans="1:25" s="21" customFormat="1">
      <c r="A39" s="16"/>
      <c r="B39" s="29" t="s">
        <v>29</v>
      </c>
      <c r="C39" s="30" t="s">
        <v>30</v>
      </c>
      <c r="D39" s="19" t="e">
        <f t="shared" ref="D39:J39" si="80">D37/D4</f>
        <v>#DIV/0!</v>
      </c>
      <c r="E39" s="19" t="e">
        <f t="shared" si="80"/>
        <v>#DIV/0!</v>
      </c>
      <c r="F39" s="19" t="e">
        <f t="shared" si="80"/>
        <v>#DIV/0!</v>
      </c>
      <c r="G39" s="19" t="e">
        <f t="shared" si="80"/>
        <v>#DIV/0!</v>
      </c>
      <c r="H39" s="19" t="e">
        <f t="shared" si="80"/>
        <v>#DIV/0!</v>
      </c>
      <c r="I39" s="19" t="e">
        <f t="shared" si="80"/>
        <v>#DIV/0!</v>
      </c>
      <c r="J39" s="19" t="e">
        <f t="shared" si="80"/>
        <v>#DIV/0!</v>
      </c>
      <c r="K39" s="20"/>
      <c r="L39" s="19" t="e">
        <f t="shared" ref="L39:R39" si="81">L37/L4</f>
        <v>#DIV/0!</v>
      </c>
      <c r="M39" s="19" t="e">
        <f t="shared" si="81"/>
        <v>#DIV/0!</v>
      </c>
      <c r="N39" s="19" t="e">
        <f t="shared" si="81"/>
        <v>#DIV/0!</v>
      </c>
      <c r="O39" s="19" t="e">
        <f t="shared" si="81"/>
        <v>#DIV/0!</v>
      </c>
      <c r="P39" s="19" t="e">
        <f t="shared" si="81"/>
        <v>#DIV/0!</v>
      </c>
      <c r="Q39" s="19" t="e">
        <f t="shared" si="81"/>
        <v>#DIV/0!</v>
      </c>
      <c r="R39" s="19" t="e">
        <f t="shared" si="81"/>
        <v>#DIV/0!</v>
      </c>
      <c r="S39" s="19" t="e">
        <f t="shared" ref="S39" si="82">S37/S4</f>
        <v>#DIV/0!</v>
      </c>
      <c r="T39"/>
      <c r="U39" s="19" t="e">
        <f>U37/U4</f>
        <v>#DIV/0!</v>
      </c>
      <c r="V39" s="19" t="e">
        <f>V37/V4</f>
        <v>#DIV/0!</v>
      </c>
      <c r="W39"/>
      <c r="X39" s="19" t="e">
        <f>X37/X4</f>
        <v>#DIV/0!</v>
      </c>
      <c r="Y39" s="19" t="e">
        <f>Y37/Y4</f>
        <v>#DIV/0!</v>
      </c>
    </row>
    <row r="40" spans="1:25">
      <c r="B40" s="34" t="s">
        <v>31</v>
      </c>
      <c r="C40" s="35" t="s">
        <v>32</v>
      </c>
      <c r="D40" s="138">
        <f t="shared" ref="D40:F40" si="83">D36-D37</f>
        <v>0</v>
      </c>
      <c r="E40" s="138">
        <f t="shared" si="83"/>
        <v>0</v>
      </c>
      <c r="F40" s="138">
        <f t="shared" si="83"/>
        <v>0</v>
      </c>
      <c r="G40" s="138">
        <f>G36-G37</f>
        <v>0</v>
      </c>
      <c r="H40" s="229" t="e">
        <f>Y40+S40</f>
        <v>#DIV/0!</v>
      </c>
      <c r="I40" s="37" t="e">
        <f t="shared" ref="I40:J40" si="84">I36*I41</f>
        <v>#DIV/0!</v>
      </c>
      <c r="J40" s="37" t="e">
        <f t="shared" si="84"/>
        <v>#DIV/0!</v>
      </c>
      <c r="K40" s="28"/>
      <c r="L40" s="138">
        <f t="shared" ref="L40:R40" si="85">L36-L37</f>
        <v>0</v>
      </c>
      <c r="M40" s="138">
        <f t="shared" si="85"/>
        <v>0</v>
      </c>
      <c r="N40" s="138">
        <f t="shared" si="85"/>
        <v>0</v>
      </c>
      <c r="O40" s="138">
        <f t="shared" si="85"/>
        <v>0</v>
      </c>
      <c r="P40" s="138">
        <f t="shared" si="85"/>
        <v>0</v>
      </c>
      <c r="Q40" s="138">
        <f t="shared" si="85"/>
        <v>0</v>
      </c>
      <c r="R40" s="138">
        <f t="shared" si="85"/>
        <v>0</v>
      </c>
      <c r="S40" s="225" t="e">
        <f>S36*S41</f>
        <v>#DIV/0!</v>
      </c>
      <c r="T40"/>
      <c r="U40" s="138">
        <f>U36-U37</f>
        <v>0</v>
      </c>
      <c r="V40" s="138">
        <f>V36-V37</f>
        <v>0</v>
      </c>
      <c r="W40"/>
      <c r="X40" s="138">
        <f>X36-X37</f>
        <v>0</v>
      </c>
      <c r="Y40" s="138">
        <f>Y36-Y37</f>
        <v>0</v>
      </c>
    </row>
    <row r="41" spans="1:25">
      <c r="D41" s="48" t="e">
        <f>D40/D36</f>
        <v>#DIV/0!</v>
      </c>
      <c r="E41" s="48" t="e">
        <f t="shared" ref="E41:G41" si="86">E40/E36</f>
        <v>#DIV/0!</v>
      </c>
      <c r="F41" s="48" t="e">
        <f t="shared" si="86"/>
        <v>#DIV/0!</v>
      </c>
      <c r="G41" s="48" t="e">
        <f t="shared" si="86"/>
        <v>#DIV/0!</v>
      </c>
      <c r="H41" s="231" t="e">
        <f>H40/H36</f>
        <v>#DIV/0!</v>
      </c>
      <c r="I41" s="49" t="e">
        <f t="shared" ref="I41:J41" si="87">H41</f>
        <v>#DIV/0!</v>
      </c>
      <c r="J41" s="49" t="e">
        <f t="shared" si="87"/>
        <v>#DIV/0!</v>
      </c>
      <c r="L41" s="48" t="e">
        <f t="shared" ref="L41:R41" si="88">L40/L36</f>
        <v>#DIV/0!</v>
      </c>
      <c r="M41" s="48" t="e">
        <f t="shared" si="88"/>
        <v>#DIV/0!</v>
      </c>
      <c r="N41" s="48" t="e">
        <f t="shared" si="88"/>
        <v>#DIV/0!</v>
      </c>
      <c r="O41" s="48" t="e">
        <f t="shared" si="88"/>
        <v>#DIV/0!</v>
      </c>
      <c r="P41" s="48" t="e">
        <f t="shared" si="88"/>
        <v>#DIV/0!</v>
      </c>
      <c r="Q41" s="48" t="e">
        <f t="shared" si="88"/>
        <v>#DIV/0!</v>
      </c>
      <c r="R41" s="48" t="e">
        <f t="shared" si="88"/>
        <v>#DIV/0!</v>
      </c>
      <c r="S41" s="226" t="e">
        <f>Y41</f>
        <v>#DIV/0!</v>
      </c>
      <c r="T41"/>
      <c r="U41" s="48" t="e">
        <f>U40/U36</f>
        <v>#DIV/0!</v>
      </c>
      <c r="V41" s="48" t="e">
        <f>V40/V36</f>
        <v>#DIV/0!</v>
      </c>
      <c r="W41"/>
      <c r="X41" s="48" t="e">
        <f>X40/X36</f>
        <v>#DIV/0!</v>
      </c>
      <c r="Y41" s="48" t="e">
        <f>Y40/Y36</f>
        <v>#DIV/0!</v>
      </c>
    </row>
    <row r="42" spans="1:25">
      <c r="N42" s="33"/>
      <c r="O42" s="33"/>
      <c r="P42" s="33"/>
      <c r="Q42" s="33"/>
      <c r="R42" s="33"/>
      <c r="S42" s="33"/>
      <c r="T42"/>
      <c r="U42" s="33"/>
      <c r="V42" s="33"/>
      <c r="W42"/>
      <c r="X42" s="33"/>
      <c r="Y42" s="33"/>
    </row>
    <row r="43" spans="1:25">
      <c r="B43" s="50" t="s">
        <v>33</v>
      </c>
      <c r="C43" s="51" t="s">
        <v>34</v>
      </c>
      <c r="D43" s="52"/>
      <c r="E43" s="52"/>
      <c r="F43" s="52"/>
      <c r="G43" s="52"/>
      <c r="H43" s="274">
        <f>G43</f>
        <v>0</v>
      </c>
      <c r="I43" s="274">
        <f>H43</f>
        <v>0</v>
      </c>
      <c r="J43" s="274">
        <f>I43</f>
        <v>0</v>
      </c>
      <c r="K43" s="52"/>
      <c r="L43" s="52"/>
      <c r="M43" s="52"/>
      <c r="N43" s="52"/>
      <c r="O43" s="52"/>
      <c r="P43" s="52"/>
      <c r="Q43" s="52"/>
      <c r="R43" s="52"/>
      <c r="S43" s="52"/>
      <c r="T43"/>
      <c r="U43" s="52"/>
      <c r="V43" s="52"/>
      <c r="W43"/>
      <c r="X43" s="52"/>
      <c r="Y43" s="52"/>
    </row>
    <row r="44" spans="1:25" s="15" customFormat="1">
      <c r="B44" s="53" t="s">
        <v>35</v>
      </c>
      <c r="C44" s="54" t="s">
        <v>36</v>
      </c>
      <c r="D44" s="55" t="e">
        <f>D37/(D43*1000)</f>
        <v>#DIV/0!</v>
      </c>
      <c r="E44" s="55" t="e">
        <f t="shared" ref="E44:J44" si="89">E37/(E43*1000)</f>
        <v>#DIV/0!</v>
      </c>
      <c r="F44" s="55" t="e">
        <f>F37/(F43*1000)</f>
        <v>#DIV/0!</v>
      </c>
      <c r="G44" s="55" t="e">
        <f t="shared" si="89"/>
        <v>#DIV/0!</v>
      </c>
      <c r="H44" s="55" t="e">
        <f t="shared" si="89"/>
        <v>#DIV/0!</v>
      </c>
      <c r="I44" s="55" t="e">
        <f t="shared" si="89"/>
        <v>#DIV/0!</v>
      </c>
      <c r="J44" s="55" t="e">
        <f t="shared" si="89"/>
        <v>#DIV/0!</v>
      </c>
      <c r="K44" s="55"/>
      <c r="L44" s="55" t="e">
        <f t="shared" ref="L44:M44" si="90">L37/(L43*1000)</f>
        <v>#DIV/0!</v>
      </c>
      <c r="M44" s="55" t="e">
        <f t="shared" si="90"/>
        <v>#DIV/0!</v>
      </c>
      <c r="N44" s="55" t="e">
        <f t="shared" ref="N44:P44" si="91">N37/(N43*1000)</f>
        <v>#DIV/0!</v>
      </c>
      <c r="O44" s="55" t="e">
        <f t="shared" ref="O44" si="92">O37/(O43*1000)</f>
        <v>#DIV/0!</v>
      </c>
      <c r="P44" s="55" t="e">
        <f t="shared" si="91"/>
        <v>#DIV/0!</v>
      </c>
      <c r="Q44" s="55" t="e">
        <f t="shared" ref="Q44:R44" si="93">Q37/(Q43*1000)</f>
        <v>#DIV/0!</v>
      </c>
      <c r="R44" s="55" t="e">
        <f t="shared" si="93"/>
        <v>#DIV/0!</v>
      </c>
      <c r="S44" s="55" t="e">
        <f t="shared" ref="S44" si="94">S37/(S43*1000)</f>
        <v>#DIV/0!</v>
      </c>
      <c r="T44"/>
      <c r="U44" s="55" t="e">
        <f t="shared" ref="U44:V44" si="95">U37/(U43*1000)</f>
        <v>#DIV/0!</v>
      </c>
      <c r="V44" s="55" t="e">
        <f t="shared" si="95"/>
        <v>#DIV/0!</v>
      </c>
      <c r="W44"/>
      <c r="X44" s="55" t="e">
        <f t="shared" ref="X44:Y44" si="96">X37/(X43*1000)</f>
        <v>#DIV/0!</v>
      </c>
      <c r="Y44" s="55" t="e">
        <f t="shared" si="96"/>
        <v>#DIV/0!</v>
      </c>
    </row>
    <row r="45" spans="1:25" ht="14.5">
      <c r="B45" s="50"/>
      <c r="C45" s="50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/>
      <c r="U45" s="52"/>
      <c r="V45" s="52"/>
      <c r="W45"/>
      <c r="X45" s="52"/>
      <c r="Y45" s="52"/>
    </row>
    <row r="46" spans="1:25">
      <c r="B46" s="56" t="s">
        <v>37</v>
      </c>
      <c r="C46" s="57" t="s">
        <v>38</v>
      </c>
      <c r="D46" s="139"/>
      <c r="E46" s="139"/>
      <c r="F46" s="139"/>
      <c r="G46" s="139"/>
      <c r="H46" s="139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/>
      <c r="U46" s="52"/>
      <c r="V46" s="52"/>
      <c r="W46"/>
      <c r="X46" s="52"/>
      <c r="Y46" s="52"/>
    </row>
    <row r="47" spans="1:25">
      <c r="B47" s="56" t="s">
        <v>39</v>
      </c>
      <c r="C47" s="57" t="s">
        <v>40</v>
      </c>
      <c r="D47" s="139"/>
      <c r="E47" s="139"/>
      <c r="F47" s="139"/>
      <c r="G47" s="139"/>
      <c r="H47" s="139" t="e">
        <f>H48-H46</f>
        <v>#DIV/0!</v>
      </c>
      <c r="I47" s="58"/>
      <c r="J47" s="58"/>
      <c r="K47" s="52"/>
      <c r="L47" s="52"/>
      <c r="M47" s="52"/>
      <c r="N47" s="52"/>
      <c r="O47" s="52"/>
      <c r="P47" s="52"/>
      <c r="Q47" s="52"/>
      <c r="R47" s="52"/>
      <c r="S47" s="52"/>
      <c r="T47"/>
      <c r="U47" s="52"/>
      <c r="V47" s="52"/>
      <c r="W47"/>
      <c r="X47" s="52"/>
      <c r="Y47" s="52"/>
    </row>
    <row r="48" spans="1:25" s="15" customFormat="1">
      <c r="B48" s="140" t="s">
        <v>41</v>
      </c>
      <c r="C48" s="141" t="s">
        <v>42</v>
      </c>
      <c r="D48" s="142">
        <f>SUM(D46:D47)</f>
        <v>0</v>
      </c>
      <c r="E48" s="142">
        <f t="shared" ref="E48:G48" si="97">SUM(E46:E47)</f>
        <v>0</v>
      </c>
      <c r="F48" s="142">
        <f t="shared" si="97"/>
        <v>0</v>
      </c>
      <c r="G48" s="142">
        <f t="shared" si="97"/>
        <v>0</v>
      </c>
      <c r="H48" s="142" t="e">
        <f>H49/H43/1000</f>
        <v>#DIV/0!</v>
      </c>
      <c r="I48" s="142" t="e">
        <f t="shared" ref="H48:J48" si="98">I49/I43/1000</f>
        <v>#DIV/0!</v>
      </c>
      <c r="J48" s="142" t="e">
        <f t="shared" si="98"/>
        <v>#DIV/0!</v>
      </c>
      <c r="K48" s="55"/>
      <c r="L48" s="55"/>
      <c r="M48" s="55"/>
      <c r="N48" s="55"/>
      <c r="O48" s="55"/>
      <c r="P48" s="55"/>
      <c r="Q48" s="55"/>
      <c r="R48" s="55"/>
      <c r="S48" s="55"/>
      <c r="T48"/>
      <c r="U48" s="55"/>
      <c r="V48" s="55"/>
      <c r="W48"/>
      <c r="X48" s="55"/>
      <c r="Y48" s="55"/>
    </row>
    <row r="49" spans="1:25">
      <c r="B49" s="59" t="s">
        <v>43</v>
      </c>
      <c r="C49" s="60" t="s">
        <v>44</v>
      </c>
      <c r="D49" s="61">
        <f>D48*D43*1000</f>
        <v>0</v>
      </c>
      <c r="E49" s="61">
        <f t="shared" ref="E49:F49" si="99">E48*E43*1000</f>
        <v>0</v>
      </c>
      <c r="F49" s="61">
        <f t="shared" si="99"/>
        <v>0</v>
      </c>
      <c r="G49" s="61">
        <f>G48*G43*1000</f>
        <v>0</v>
      </c>
      <c r="H49" s="232" t="e">
        <f>H50*H37</f>
        <v>#DIV/0!</v>
      </c>
      <c r="I49" s="61" t="e">
        <f t="shared" ref="I49:J49" si="100">I50*I37</f>
        <v>#DIV/0!</v>
      </c>
      <c r="J49" s="61" t="e">
        <f t="shared" si="100"/>
        <v>#DIV/0!</v>
      </c>
      <c r="K49" s="52"/>
      <c r="L49" s="52"/>
      <c r="M49" s="52"/>
      <c r="N49" s="52"/>
      <c r="O49" s="52"/>
      <c r="P49" s="52"/>
      <c r="Q49" s="52"/>
      <c r="R49" s="52"/>
      <c r="S49" s="52"/>
      <c r="T49"/>
      <c r="U49" s="52"/>
      <c r="V49" s="52"/>
      <c r="W49"/>
      <c r="X49" s="52"/>
      <c r="Y49" s="52"/>
    </row>
    <row r="50" spans="1:25" s="15" customFormat="1">
      <c r="B50" s="62" t="s">
        <v>45</v>
      </c>
      <c r="C50" s="63" t="s">
        <v>46</v>
      </c>
      <c r="D50" s="64" t="e">
        <f>D49/D37</f>
        <v>#DIV/0!</v>
      </c>
      <c r="E50" s="64" t="e">
        <f t="shared" ref="E50:G50" si="101">E49/E37</f>
        <v>#DIV/0!</v>
      </c>
      <c r="F50" s="64" t="e">
        <f t="shared" si="101"/>
        <v>#DIV/0!</v>
      </c>
      <c r="G50" s="64" t="e">
        <f t="shared" si="101"/>
        <v>#DIV/0!</v>
      </c>
      <c r="H50" s="65"/>
      <c r="I50" s="233"/>
      <c r="J50" s="65">
        <f>I50</f>
        <v>0</v>
      </c>
      <c r="K50" s="55"/>
      <c r="L50" s="55"/>
      <c r="M50" s="55"/>
      <c r="N50" s="55"/>
      <c r="O50" s="55"/>
      <c r="P50" s="55"/>
      <c r="Q50" s="55"/>
      <c r="R50" s="55"/>
      <c r="S50" s="55"/>
      <c r="T50"/>
      <c r="U50" s="55"/>
      <c r="V50" s="55"/>
      <c r="W50"/>
      <c r="X50" s="55"/>
      <c r="Y50" s="55"/>
    </row>
    <row r="51" spans="1:25" ht="14.5">
      <c r="B51" s="53"/>
      <c r="C51" s="53"/>
      <c r="D51" s="66"/>
      <c r="E51" s="66"/>
      <c r="F51" s="66"/>
      <c r="G51" s="67"/>
      <c r="H51" s="68"/>
      <c r="I51" s="68"/>
      <c r="J51" s="68"/>
      <c r="K51" s="50"/>
      <c r="L51" s="50"/>
      <c r="M51" s="50"/>
      <c r="N51" s="50"/>
      <c r="O51" s="50"/>
      <c r="P51" s="50"/>
      <c r="Q51" s="50"/>
      <c r="R51" s="50"/>
      <c r="S51" s="50"/>
      <c r="T51"/>
      <c r="U51" s="50"/>
      <c r="V51" s="50"/>
      <c r="W51"/>
      <c r="X51" s="50"/>
      <c r="Y51" s="50"/>
    </row>
    <row r="52" spans="1:25">
      <c r="B52" s="50" t="s">
        <v>47</v>
      </c>
      <c r="C52" s="51" t="s">
        <v>48</v>
      </c>
      <c r="D52" s="143"/>
      <c r="E52" s="143">
        <f t="shared" ref="E52:J52" si="102">D52</f>
        <v>0</v>
      </c>
      <c r="F52" s="143">
        <f t="shared" si="102"/>
        <v>0</v>
      </c>
      <c r="G52" s="143">
        <f t="shared" si="102"/>
        <v>0</v>
      </c>
      <c r="H52" s="143">
        <f t="shared" si="102"/>
        <v>0</v>
      </c>
      <c r="I52" s="143">
        <f t="shared" si="102"/>
        <v>0</v>
      </c>
      <c r="J52" s="143">
        <f t="shared" si="102"/>
        <v>0</v>
      </c>
      <c r="K52" s="50"/>
      <c r="L52" s="50"/>
      <c r="M52" s="50"/>
      <c r="N52" s="50"/>
      <c r="O52" s="50"/>
      <c r="P52" s="50"/>
      <c r="Q52" s="50"/>
      <c r="R52" s="50"/>
      <c r="S52" s="50"/>
      <c r="T52"/>
      <c r="U52" s="50"/>
      <c r="V52" s="50"/>
      <c r="W52"/>
      <c r="X52" s="50"/>
      <c r="Y52" s="50"/>
    </row>
    <row r="53" spans="1:25" s="15" customFormat="1">
      <c r="B53" s="69" t="s">
        <v>49</v>
      </c>
      <c r="C53" s="70" t="s">
        <v>50</v>
      </c>
      <c r="D53" s="71" t="e">
        <f>D48/D52</f>
        <v>#DIV/0!</v>
      </c>
      <c r="E53" s="71" t="e">
        <f t="shared" ref="E53:J53" si="103">E48/E52</f>
        <v>#DIV/0!</v>
      </c>
      <c r="F53" s="71" t="e">
        <f t="shared" si="103"/>
        <v>#DIV/0!</v>
      </c>
      <c r="G53" s="71" t="e">
        <f t="shared" si="103"/>
        <v>#DIV/0!</v>
      </c>
      <c r="H53" s="71" t="e">
        <f t="shared" si="103"/>
        <v>#DIV/0!</v>
      </c>
      <c r="I53" s="71" t="e">
        <f t="shared" si="103"/>
        <v>#DIV/0!</v>
      </c>
      <c r="J53" s="71" t="e">
        <f t="shared" si="103"/>
        <v>#DIV/0!</v>
      </c>
      <c r="K53" s="53"/>
      <c r="L53" s="53"/>
      <c r="M53" s="53"/>
      <c r="N53" s="53"/>
      <c r="O53" s="53"/>
      <c r="P53" s="53"/>
      <c r="Q53" s="53"/>
      <c r="R53" s="53"/>
      <c r="S53" s="53"/>
      <c r="T53"/>
      <c r="U53" s="53"/>
      <c r="V53" s="53"/>
      <c r="W53"/>
      <c r="X53" s="53"/>
      <c r="Y53" s="53"/>
    </row>
    <row r="54" spans="1:25" ht="14.5">
      <c r="B54" s="50"/>
      <c r="C54" s="50"/>
      <c r="D54" s="72"/>
      <c r="E54" s="72"/>
      <c r="F54" s="72"/>
      <c r="G54" s="72"/>
      <c r="H54" s="73"/>
      <c r="I54" s="73"/>
      <c r="J54" s="73"/>
      <c r="K54" s="50"/>
      <c r="L54" s="50"/>
      <c r="M54" s="50"/>
      <c r="N54" s="50"/>
      <c r="O54" s="50"/>
      <c r="P54" s="50"/>
      <c r="Q54" s="50"/>
      <c r="R54" s="50"/>
      <c r="S54" s="50"/>
      <c r="T54"/>
      <c r="U54" s="50"/>
      <c r="V54" s="50"/>
      <c r="W54"/>
      <c r="X54" s="50"/>
      <c r="Y54" s="50"/>
    </row>
    <row r="55" spans="1:25">
      <c r="B55" s="53" t="s">
        <v>51</v>
      </c>
      <c r="C55" s="74" t="s">
        <v>202</v>
      </c>
      <c r="D55" s="75">
        <f>D43*D52</f>
        <v>0</v>
      </c>
      <c r="E55" s="75">
        <f t="shared" ref="E55:J55" si="104">E43*E52</f>
        <v>0</v>
      </c>
      <c r="F55" s="75">
        <f t="shared" si="104"/>
        <v>0</v>
      </c>
      <c r="G55" s="75">
        <f t="shared" si="104"/>
        <v>0</v>
      </c>
      <c r="H55" s="75">
        <f t="shared" si="104"/>
        <v>0</v>
      </c>
      <c r="I55" s="75">
        <f t="shared" si="104"/>
        <v>0</v>
      </c>
      <c r="J55" s="75">
        <f t="shared" si="104"/>
        <v>0</v>
      </c>
      <c r="K55" s="50"/>
      <c r="L55" s="50"/>
      <c r="M55" s="50"/>
      <c r="N55" s="50"/>
      <c r="O55" s="50"/>
      <c r="P55" s="50"/>
      <c r="Q55" s="50"/>
      <c r="R55" s="50"/>
      <c r="S55" s="50"/>
      <c r="T55"/>
      <c r="U55" s="50"/>
      <c r="V55" s="50"/>
      <c r="W55"/>
      <c r="X55" s="50"/>
      <c r="Y55" s="50"/>
    </row>
    <row r="56" spans="1:25" s="15" customFormat="1">
      <c r="B56" s="69" t="s">
        <v>52</v>
      </c>
      <c r="C56" s="70" t="s">
        <v>53</v>
      </c>
      <c r="D56" s="76" t="e">
        <f>D52/D44</f>
        <v>#DIV/0!</v>
      </c>
      <c r="E56" s="76" t="e">
        <f t="shared" ref="E56:J56" si="105">E52/E44</f>
        <v>#DIV/0!</v>
      </c>
      <c r="F56" s="76" t="e">
        <f t="shared" si="105"/>
        <v>#DIV/0!</v>
      </c>
      <c r="G56" s="76" t="e">
        <f t="shared" si="105"/>
        <v>#DIV/0!</v>
      </c>
      <c r="H56" s="76" t="e">
        <f t="shared" si="105"/>
        <v>#DIV/0!</v>
      </c>
      <c r="I56" s="76" t="e">
        <f t="shared" si="105"/>
        <v>#DIV/0!</v>
      </c>
      <c r="J56" s="76" t="e">
        <f t="shared" si="105"/>
        <v>#DIV/0!</v>
      </c>
      <c r="K56" s="53"/>
      <c r="L56" s="53"/>
      <c r="M56" s="53"/>
      <c r="N56" s="53"/>
      <c r="O56" s="53"/>
      <c r="P56" s="53"/>
      <c r="Q56" s="53"/>
      <c r="R56" s="53"/>
      <c r="S56" s="53"/>
      <c r="T56"/>
      <c r="U56" s="53"/>
      <c r="V56" s="53"/>
      <c r="W56"/>
      <c r="X56" s="53"/>
      <c r="Y56" s="53"/>
    </row>
    <row r="57" spans="1:25" s="15" customFormat="1" ht="15.5" thickBot="1">
      <c r="B57" s="178"/>
      <c r="C57" s="179"/>
      <c r="D57" s="180"/>
      <c r="E57" s="180"/>
      <c r="F57" s="180"/>
      <c r="G57" s="180"/>
      <c r="H57" s="180"/>
      <c r="I57" s="180"/>
      <c r="J57" s="180"/>
      <c r="K57" s="25"/>
      <c r="L57" s="25"/>
      <c r="M57" s="25"/>
      <c r="N57" s="25"/>
      <c r="O57" s="25"/>
      <c r="P57" s="25"/>
      <c r="Q57" s="25"/>
      <c r="R57" s="25"/>
      <c r="S57" s="25"/>
      <c r="T57"/>
      <c r="U57" s="25"/>
      <c r="V57" s="25"/>
      <c r="W57"/>
      <c r="X57" s="25"/>
      <c r="Y57" s="25"/>
    </row>
    <row r="58" spans="1:25" s="15" customFormat="1">
      <c r="B58" s="178"/>
      <c r="C58" s="179"/>
      <c r="D58" s="180"/>
      <c r="E58" s="180"/>
      <c r="F58" s="181"/>
      <c r="G58" s="182" t="s">
        <v>460</v>
      </c>
      <c r="H58" s="275"/>
      <c r="I58" s="275"/>
      <c r="J58" s="276"/>
      <c r="K58" s="25"/>
      <c r="L58" s="25"/>
      <c r="M58" s="25"/>
      <c r="N58" s="25"/>
      <c r="O58" s="25"/>
      <c r="P58" s="25"/>
      <c r="Q58" s="25"/>
      <c r="R58" s="25"/>
      <c r="S58" s="25"/>
      <c r="T58"/>
      <c r="U58" s="25"/>
      <c r="V58" s="25"/>
      <c r="W58"/>
      <c r="X58" s="25"/>
      <c r="Y58" s="25"/>
    </row>
    <row r="59" spans="1:25" s="15" customFormat="1">
      <c r="B59" s="178"/>
      <c r="C59" s="179"/>
      <c r="D59" s="180"/>
      <c r="E59" s="180"/>
      <c r="F59" s="183"/>
      <c r="G59" s="184" t="s">
        <v>461</v>
      </c>
      <c r="H59" s="277"/>
      <c r="I59" s="277"/>
      <c r="J59" s="278"/>
      <c r="K59" s="25"/>
      <c r="L59" s="25"/>
      <c r="M59" s="25"/>
      <c r="N59" s="25"/>
      <c r="O59" s="25"/>
      <c r="P59" s="25"/>
      <c r="Q59" s="25"/>
      <c r="R59" s="25"/>
      <c r="S59" s="25"/>
      <c r="T59"/>
      <c r="U59" s="25"/>
      <c r="V59" s="25"/>
      <c r="W59"/>
      <c r="X59" s="25"/>
      <c r="Y59" s="25"/>
    </row>
    <row r="60" spans="1:25" s="15" customFormat="1" ht="15.5" thickBot="1">
      <c r="B60" s="178"/>
      <c r="C60" s="179"/>
      <c r="D60" s="180"/>
      <c r="E60" s="180"/>
      <c r="F60" s="185"/>
      <c r="G60" s="186" t="s">
        <v>462</v>
      </c>
      <c r="H60" s="279"/>
      <c r="I60" s="279"/>
      <c r="J60" s="280"/>
      <c r="K60" s="25"/>
      <c r="L60" s="25"/>
      <c r="M60" s="25"/>
      <c r="N60" s="25"/>
      <c r="O60" s="25"/>
      <c r="P60" s="25"/>
      <c r="Q60" s="25"/>
      <c r="R60" s="25"/>
      <c r="S60" s="25"/>
      <c r="T60"/>
      <c r="U60" s="25"/>
      <c r="V60" s="25"/>
      <c r="W60"/>
      <c r="X60" s="25"/>
      <c r="Y60" s="25"/>
    </row>
    <row r="61" spans="1:25" s="15" customFormat="1" ht="15.5" thickBot="1">
      <c r="B61" s="178"/>
      <c r="C61" s="179"/>
      <c r="D61" s="180"/>
      <c r="E61" s="180"/>
      <c r="F61" s="188"/>
      <c r="G61" s="189" t="s">
        <v>203</v>
      </c>
      <c r="H61" s="190" t="e">
        <f>AVERAGE(H58:H60)</f>
        <v>#DIV/0!</v>
      </c>
      <c r="I61" s="190" t="e">
        <f>AVERAGE(I58:I60)</f>
        <v>#DIV/0!</v>
      </c>
      <c r="J61" s="191" t="e">
        <f>AVERAGE(J58:J60)</f>
        <v>#DIV/0!</v>
      </c>
      <c r="K61" s="25"/>
      <c r="L61" s="25"/>
      <c r="M61" s="25"/>
      <c r="N61" s="25"/>
      <c r="O61" s="25"/>
      <c r="P61" s="25"/>
      <c r="Q61" s="25"/>
      <c r="R61" s="25"/>
      <c r="S61" s="25"/>
      <c r="T61"/>
      <c r="U61" s="25"/>
      <c r="V61" s="25"/>
      <c r="W61"/>
      <c r="X61" s="25"/>
      <c r="Y61" s="25"/>
    </row>
    <row r="62" spans="1:25" ht="14.5">
      <c r="C62" s="33"/>
      <c r="D62" s="77"/>
      <c r="E62" s="77"/>
      <c r="F62" s="78"/>
      <c r="G62" s="77"/>
      <c r="H62" s="48"/>
      <c r="I62" s="48"/>
      <c r="J62" s="48"/>
      <c r="N62" s="33"/>
      <c r="O62" s="33"/>
      <c r="P62" s="33"/>
      <c r="Q62" s="33"/>
      <c r="R62" s="33"/>
      <c r="S62" s="33"/>
      <c r="T62"/>
      <c r="U62" s="33"/>
      <c r="V62" s="33"/>
      <c r="W62"/>
      <c r="X62" s="33"/>
      <c r="Y62" s="33"/>
    </row>
    <row r="63" spans="1:25" s="5" customFormat="1" ht="17.5">
      <c r="A63" s="1"/>
      <c r="B63" s="9" t="s">
        <v>54</v>
      </c>
      <c r="C63" s="10" t="s">
        <v>55</v>
      </c>
      <c r="D63" s="11"/>
      <c r="E63" s="11"/>
      <c r="F63" s="11"/>
      <c r="G63" s="6"/>
      <c r="H63" s="6"/>
      <c r="I63" s="6"/>
      <c r="J63" s="6"/>
      <c r="K63" s="6"/>
      <c r="L63" s="11"/>
      <c r="M63" s="11"/>
      <c r="N63" s="11"/>
      <c r="O63" s="11"/>
      <c r="P63" s="11"/>
      <c r="Q63" s="11"/>
      <c r="R63" s="11"/>
      <c r="S63" s="11"/>
      <c r="T63"/>
      <c r="U63" s="11"/>
      <c r="V63" s="11"/>
      <c r="W63"/>
      <c r="X63" s="11"/>
      <c r="Y63" s="11"/>
    </row>
    <row r="64" spans="1:25" s="15" customFormat="1">
      <c r="A64" s="1"/>
      <c r="B64" s="79" t="s">
        <v>56</v>
      </c>
      <c r="C64" s="80" t="s">
        <v>57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/>
      <c r="U64" s="79"/>
      <c r="V64" s="79"/>
      <c r="W64"/>
      <c r="X64" s="79"/>
      <c r="Y64" s="79"/>
    </row>
    <row r="65" spans="2:25">
      <c r="B65" s="81" t="s">
        <v>17</v>
      </c>
      <c r="C65" s="82" t="s">
        <v>18</v>
      </c>
      <c r="D65" s="83">
        <f>D36</f>
        <v>0</v>
      </c>
      <c r="E65" s="83">
        <f t="shared" ref="E65:J65" si="106">E36</f>
        <v>0</v>
      </c>
      <c r="F65" s="83">
        <f t="shared" si="106"/>
        <v>0</v>
      </c>
      <c r="G65" s="83">
        <f t="shared" si="106"/>
        <v>0</v>
      </c>
      <c r="H65" s="83" t="e">
        <f t="shared" si="106"/>
        <v>#DIV/0!</v>
      </c>
      <c r="I65" s="83" t="e">
        <f t="shared" si="106"/>
        <v>#DIV/0!</v>
      </c>
      <c r="J65" s="83" t="e">
        <f t="shared" si="106"/>
        <v>#DIV/0!</v>
      </c>
      <c r="K65" s="84"/>
      <c r="L65" s="85"/>
      <c r="M65" s="85"/>
      <c r="N65" s="85"/>
      <c r="O65" s="85"/>
      <c r="P65" s="85"/>
      <c r="Q65" s="85"/>
      <c r="R65" s="85"/>
      <c r="S65" s="85"/>
      <c r="T65"/>
      <c r="U65" s="85"/>
      <c r="V65" s="85"/>
      <c r="W65"/>
      <c r="X65" s="85"/>
      <c r="Y65" s="85"/>
    </row>
    <row r="66" spans="2:25">
      <c r="B66" s="81" t="s">
        <v>156</v>
      </c>
      <c r="C66" s="82" t="s">
        <v>299</v>
      </c>
      <c r="D66" s="83">
        <f>SUM(D67:D69)</f>
        <v>0</v>
      </c>
      <c r="E66" s="83">
        <f>SUM(E67:E69)</f>
        <v>0</v>
      </c>
      <c r="F66" s="83">
        <f>SUM(F67:F69)</f>
        <v>0</v>
      </c>
      <c r="G66" s="83">
        <f>SUM(G67:G69)</f>
        <v>0</v>
      </c>
      <c r="H66" s="83" t="e">
        <f t="shared" ref="H66:J66" si="107">SUM(H67:H69)</f>
        <v>#DIV/0!</v>
      </c>
      <c r="I66" s="83" t="e">
        <f t="shared" si="107"/>
        <v>#DIV/0!</v>
      </c>
      <c r="J66" s="83" t="e">
        <f t="shared" si="107"/>
        <v>#DIV/0!</v>
      </c>
      <c r="K66" s="84"/>
      <c r="L66" s="85"/>
      <c r="M66" s="85"/>
      <c r="N66" s="85"/>
      <c r="O66" s="85"/>
      <c r="P66" s="85"/>
      <c r="Q66" s="85"/>
      <c r="R66" s="85"/>
      <c r="S66" s="85"/>
      <c r="T66"/>
      <c r="U66" s="85"/>
      <c r="V66" s="85"/>
      <c r="W66"/>
      <c r="X66" s="85"/>
      <c r="Y66" s="85"/>
    </row>
    <row r="67" spans="2:25">
      <c r="B67" s="90" t="s">
        <v>153</v>
      </c>
      <c r="C67" s="87" t="s">
        <v>300</v>
      </c>
      <c r="D67" s="38">
        <f t="shared" ref="D67:G69" si="108">D28</f>
        <v>0</v>
      </c>
      <c r="E67" s="38">
        <f t="shared" si="108"/>
        <v>0</v>
      </c>
      <c r="F67" s="38">
        <f t="shared" si="108"/>
        <v>0</v>
      </c>
      <c r="G67" s="38">
        <f>G28</f>
        <v>0</v>
      </c>
      <c r="H67" s="92" t="e">
        <f>H197</f>
        <v>#DIV/0!</v>
      </c>
      <c r="I67" s="92" t="e">
        <f t="shared" ref="I67:J67" si="109">I197</f>
        <v>#DIV/0!</v>
      </c>
      <c r="J67" s="92" t="e">
        <f t="shared" si="109"/>
        <v>#DIV/0!</v>
      </c>
      <c r="K67" s="84"/>
      <c r="L67" s="85"/>
      <c r="M67" s="85"/>
      <c r="N67" s="85"/>
      <c r="O67" s="85"/>
      <c r="P67" s="85"/>
      <c r="Q67" s="85"/>
      <c r="R67" s="85"/>
      <c r="S67" s="85"/>
      <c r="T67"/>
      <c r="U67" s="85"/>
      <c r="V67" s="85"/>
      <c r="W67"/>
      <c r="X67" s="85"/>
      <c r="Y67" s="85"/>
    </row>
    <row r="68" spans="2:25">
      <c r="B68" s="90" t="s">
        <v>155</v>
      </c>
      <c r="C68" s="87" t="s">
        <v>301</v>
      </c>
      <c r="D68" s="38">
        <f t="shared" si="108"/>
        <v>0</v>
      </c>
      <c r="E68" s="38">
        <f t="shared" si="108"/>
        <v>0</v>
      </c>
      <c r="F68" s="38">
        <f t="shared" si="108"/>
        <v>0</v>
      </c>
      <c r="G68" s="38">
        <f t="shared" si="108"/>
        <v>0</v>
      </c>
      <c r="H68" s="92" t="e">
        <f>H211</f>
        <v>#DIV/0!</v>
      </c>
      <c r="I68" s="92" t="e">
        <f t="shared" ref="I68:J68" si="110">I211</f>
        <v>#DIV/0!</v>
      </c>
      <c r="J68" s="92" t="e">
        <f t="shared" si="110"/>
        <v>#DIV/0!</v>
      </c>
      <c r="K68" s="84"/>
      <c r="L68" s="85"/>
      <c r="M68" s="85"/>
      <c r="N68" s="85"/>
      <c r="O68" s="85"/>
      <c r="P68" s="85"/>
      <c r="Q68" s="85"/>
      <c r="R68" s="85"/>
      <c r="S68" s="85"/>
      <c r="T68"/>
      <c r="U68" s="85"/>
      <c r="V68" s="85"/>
      <c r="W68"/>
      <c r="X68" s="85"/>
      <c r="Y68" s="85"/>
    </row>
    <row r="69" spans="2:25">
      <c r="B69" s="90" t="s">
        <v>154</v>
      </c>
      <c r="C69" s="87" t="s">
        <v>302</v>
      </c>
      <c r="D69" s="38">
        <f t="shared" si="108"/>
        <v>0</v>
      </c>
      <c r="E69" s="38">
        <f t="shared" si="108"/>
        <v>0</v>
      </c>
      <c r="F69" s="38">
        <f t="shared" si="108"/>
        <v>0</v>
      </c>
      <c r="G69" s="38">
        <f t="shared" si="108"/>
        <v>0</v>
      </c>
      <c r="H69" s="92" t="e">
        <f t="shared" ref="H69:J69" si="111">H218</f>
        <v>#DIV/0!</v>
      </c>
      <c r="I69" s="92" t="e">
        <f t="shared" si="111"/>
        <v>#DIV/0!</v>
      </c>
      <c r="J69" s="92" t="e">
        <f t="shared" si="111"/>
        <v>#DIV/0!</v>
      </c>
      <c r="K69" s="84"/>
      <c r="L69" s="85"/>
      <c r="M69" s="85"/>
      <c r="N69" s="85"/>
      <c r="O69" s="85"/>
      <c r="P69" s="85"/>
      <c r="Q69" s="85"/>
      <c r="R69" s="85"/>
      <c r="S69" s="85"/>
      <c r="T69"/>
      <c r="U69" s="85"/>
      <c r="V69" s="85"/>
      <c r="W69"/>
      <c r="X69" s="85"/>
      <c r="Y69" s="85"/>
    </row>
    <row r="70" spans="2:25" s="15" customFormat="1">
      <c r="B70" s="81" t="s">
        <v>58</v>
      </c>
      <c r="C70" s="82" t="s">
        <v>59</v>
      </c>
      <c r="D70" s="83">
        <f t="shared" ref="D70:J70" si="112">SUM(D71:D73)</f>
        <v>0</v>
      </c>
      <c r="E70" s="83">
        <f t="shared" si="112"/>
        <v>0</v>
      </c>
      <c r="F70" s="83">
        <f t="shared" si="112"/>
        <v>0</v>
      </c>
      <c r="G70" s="83">
        <f t="shared" si="112"/>
        <v>0</v>
      </c>
      <c r="H70" s="83" t="e">
        <f t="shared" si="112"/>
        <v>#DIV/0!</v>
      </c>
      <c r="I70" s="83" t="e">
        <f t="shared" si="112"/>
        <v>#DIV/0!</v>
      </c>
      <c r="J70" s="83" t="e">
        <f t="shared" si="112"/>
        <v>#DIV/0!</v>
      </c>
      <c r="K70" s="89"/>
      <c r="L70" s="85"/>
      <c r="M70" s="85"/>
      <c r="N70" s="85"/>
      <c r="O70" s="85"/>
      <c r="P70" s="85"/>
      <c r="Q70" s="85"/>
      <c r="R70" s="85"/>
      <c r="S70" s="85"/>
      <c r="T70"/>
      <c r="U70" s="85"/>
      <c r="V70" s="85"/>
      <c r="W70"/>
      <c r="X70" s="85"/>
      <c r="Y70" s="85"/>
    </row>
    <row r="71" spans="2:25">
      <c r="B71" s="90" t="s">
        <v>298</v>
      </c>
      <c r="C71" s="91" t="s">
        <v>303</v>
      </c>
      <c r="D71" s="134"/>
      <c r="E71" s="134"/>
      <c r="F71" s="134"/>
      <c r="G71" s="134"/>
      <c r="H71" s="88" t="e">
        <f>G119-H119</f>
        <v>#DIV/0!</v>
      </c>
      <c r="I71" s="88" t="e">
        <f>H119-I119</f>
        <v>#DIV/0!</v>
      </c>
      <c r="J71" s="88" t="e">
        <f>I119-J119</f>
        <v>#DIV/0!</v>
      </c>
      <c r="K71" s="84"/>
      <c r="L71" s="85"/>
      <c r="M71" s="85"/>
      <c r="N71" s="85"/>
      <c r="O71" s="85"/>
      <c r="P71" s="85"/>
      <c r="Q71" s="85"/>
      <c r="R71" s="85"/>
      <c r="S71" s="85"/>
      <c r="T71"/>
      <c r="U71" s="85"/>
      <c r="V71" s="85"/>
      <c r="W71"/>
      <c r="X71" s="85"/>
      <c r="Y71" s="85"/>
    </row>
    <row r="72" spans="2:25">
      <c r="B72" s="90" t="s">
        <v>308</v>
      </c>
      <c r="C72" s="91" t="s">
        <v>309</v>
      </c>
      <c r="D72" s="134"/>
      <c r="E72" s="134"/>
      <c r="F72" s="134"/>
      <c r="G72" s="134"/>
      <c r="H72" s="88" t="e">
        <f>(G120+G121+G122+G123+G124+G125+G127)-(H120+H121+H122+H123+H124+H125+H127)</f>
        <v>#DIV/0!</v>
      </c>
      <c r="I72" s="88" t="e">
        <f>(H120+H121+H122+H123+H124+H125+H127)-(I120+I121+I122+I123+I124+I125+I127)</f>
        <v>#DIV/0!</v>
      </c>
      <c r="J72" s="88" t="e">
        <f>(I120+I121+I122+I123+I124+I125+I127)-(J120+J121+J122+J123+J124+J125+J127)</f>
        <v>#DIV/0!</v>
      </c>
      <c r="K72" s="84"/>
      <c r="L72" s="85"/>
      <c r="M72" s="85"/>
      <c r="N72" s="85"/>
      <c r="O72" s="85"/>
      <c r="P72" s="85"/>
      <c r="Q72" s="85"/>
      <c r="R72" s="85"/>
      <c r="S72" s="85"/>
      <c r="T72"/>
      <c r="U72" s="85"/>
      <c r="V72" s="85"/>
      <c r="W72"/>
      <c r="X72" s="85"/>
      <c r="Y72" s="85"/>
    </row>
    <row r="73" spans="2:25">
      <c r="B73" s="90" t="s">
        <v>310</v>
      </c>
      <c r="C73" s="91" t="s">
        <v>311</v>
      </c>
      <c r="D73" s="134"/>
      <c r="E73" s="134"/>
      <c r="F73" s="134"/>
      <c r="G73" s="134"/>
      <c r="H73" s="88" t="e">
        <f>(H135+H136+H137+H138+H139+H140)-(G135+G136+G137+G138+G139+G140)</f>
        <v>#DIV/0!</v>
      </c>
      <c r="I73" s="88" t="e">
        <f>(I135+I136+I137+I138+I139+I140)-(H135+H136+H137+H138+H139+H140)</f>
        <v>#DIV/0!</v>
      </c>
      <c r="J73" s="88" t="e">
        <f>(J135+J136+J137+J138+J139+J140)-(I135+I136+I137+I138+I139+I140)</f>
        <v>#DIV/0!</v>
      </c>
      <c r="K73" s="84"/>
      <c r="L73" s="85"/>
      <c r="M73" s="85"/>
      <c r="N73" s="85"/>
      <c r="O73" s="85"/>
      <c r="P73" s="85"/>
      <c r="Q73" s="85"/>
      <c r="R73" s="85"/>
      <c r="S73" s="85"/>
      <c r="T73"/>
      <c r="U73" s="85"/>
      <c r="V73" s="85"/>
      <c r="W73"/>
      <c r="X73" s="85"/>
      <c r="Y73" s="85"/>
    </row>
    <row r="74" spans="2:25">
      <c r="B74" s="93" t="s">
        <v>60</v>
      </c>
      <c r="C74" s="94" t="s">
        <v>304</v>
      </c>
      <c r="D74" s="134"/>
      <c r="E74" s="134"/>
      <c r="F74" s="134"/>
      <c r="G74" s="134"/>
      <c r="H74" s="95"/>
      <c r="I74" s="95"/>
      <c r="J74" s="95"/>
      <c r="K74" s="96"/>
      <c r="L74" s="97"/>
      <c r="M74" s="97"/>
      <c r="N74" s="97"/>
      <c r="O74" s="97"/>
      <c r="P74" s="97"/>
      <c r="Q74" s="97"/>
      <c r="R74" s="97"/>
      <c r="S74" s="97"/>
      <c r="T74"/>
      <c r="U74" s="97"/>
      <c r="V74" s="97"/>
      <c r="W74"/>
      <c r="X74" s="97"/>
      <c r="Y74" s="97"/>
    </row>
    <row r="75" spans="2:25">
      <c r="B75" s="98" t="s">
        <v>61</v>
      </c>
      <c r="C75" s="99" t="s">
        <v>62</v>
      </c>
      <c r="D75" s="100">
        <f t="shared" ref="D75:J75" si="113">SUM(D65,D66,D70,D74)</f>
        <v>0</v>
      </c>
      <c r="E75" s="100">
        <f t="shared" si="113"/>
        <v>0</v>
      </c>
      <c r="F75" s="100">
        <f t="shared" si="113"/>
        <v>0</v>
      </c>
      <c r="G75" s="100">
        <f t="shared" si="113"/>
        <v>0</v>
      </c>
      <c r="H75" s="100" t="e">
        <f t="shared" si="113"/>
        <v>#DIV/0!</v>
      </c>
      <c r="I75" s="100" t="e">
        <f t="shared" si="113"/>
        <v>#DIV/0!</v>
      </c>
      <c r="J75" s="100" t="e">
        <f t="shared" si="113"/>
        <v>#DIV/0!</v>
      </c>
      <c r="K75" s="98"/>
      <c r="L75" s="101"/>
      <c r="M75" s="101"/>
      <c r="N75" s="101"/>
      <c r="O75" s="101"/>
      <c r="P75" s="101"/>
      <c r="Q75" s="101"/>
      <c r="R75" s="101"/>
      <c r="S75" s="101"/>
      <c r="T75"/>
      <c r="U75" s="101"/>
      <c r="V75" s="101"/>
      <c r="W75"/>
      <c r="X75" s="101"/>
      <c r="Y75" s="101"/>
    </row>
    <row r="76" spans="2:25">
      <c r="B76" s="89"/>
      <c r="C76" s="99"/>
      <c r="D76" s="101"/>
      <c r="E76" s="101"/>
      <c r="F76" s="101"/>
      <c r="G76" s="101"/>
      <c r="H76" s="101"/>
      <c r="I76" s="101"/>
      <c r="J76" s="101"/>
      <c r="K76" s="89"/>
      <c r="L76" s="101"/>
      <c r="M76" s="101"/>
      <c r="N76" s="101"/>
      <c r="O76" s="101"/>
      <c r="P76" s="101"/>
      <c r="Q76" s="101"/>
      <c r="R76" s="101"/>
      <c r="S76" s="101"/>
      <c r="T76"/>
      <c r="U76" s="101"/>
      <c r="V76" s="101"/>
      <c r="W76"/>
      <c r="X76" s="101"/>
      <c r="Y76" s="101"/>
    </row>
    <row r="77" spans="2:25">
      <c r="B77" s="89" t="s">
        <v>63</v>
      </c>
      <c r="C77" s="99" t="s">
        <v>64</v>
      </c>
      <c r="D77" s="101"/>
      <c r="E77" s="101"/>
      <c r="F77" s="101"/>
      <c r="G77" s="101"/>
      <c r="H77" s="101"/>
      <c r="I77" s="101"/>
      <c r="J77" s="101"/>
      <c r="K77" s="89"/>
      <c r="L77" s="101"/>
      <c r="M77" s="101"/>
      <c r="N77" s="101"/>
      <c r="O77" s="101"/>
      <c r="P77" s="101"/>
      <c r="Q77" s="101"/>
      <c r="R77" s="101"/>
      <c r="S77" s="101"/>
      <c r="T77"/>
      <c r="U77" s="101"/>
      <c r="V77" s="101"/>
      <c r="W77"/>
      <c r="X77" s="101"/>
      <c r="Y77" s="101"/>
    </row>
    <row r="78" spans="2:25">
      <c r="B78" s="86" t="s">
        <v>65</v>
      </c>
      <c r="C78" s="87" t="s">
        <v>66</v>
      </c>
      <c r="D78" s="38">
        <f t="shared" ref="D78:E78" si="114">SUM(D79:D81)</f>
        <v>0</v>
      </c>
      <c r="E78" s="38">
        <f t="shared" si="114"/>
        <v>0</v>
      </c>
      <c r="F78" s="38">
        <f>SUM(F79:F81)</f>
        <v>0</v>
      </c>
      <c r="G78" s="38">
        <f>SUM(G79:G81)</f>
        <v>0</v>
      </c>
      <c r="H78" s="38">
        <f t="shared" ref="H78:J78" si="115">SUM(H79:H81)</f>
        <v>0</v>
      </c>
      <c r="I78" s="38">
        <f t="shared" si="115"/>
        <v>0</v>
      </c>
      <c r="J78" s="38">
        <f t="shared" si="115"/>
        <v>0</v>
      </c>
      <c r="K78" s="84"/>
      <c r="L78" s="102"/>
      <c r="M78" s="102"/>
      <c r="N78" s="102"/>
      <c r="O78" s="102"/>
      <c r="P78" s="102"/>
      <c r="Q78" s="102"/>
      <c r="R78" s="102"/>
      <c r="S78" s="102"/>
      <c r="T78"/>
      <c r="U78" s="102"/>
      <c r="V78" s="102"/>
      <c r="W78"/>
      <c r="X78" s="102"/>
      <c r="Y78" s="102"/>
    </row>
    <row r="79" spans="2:25">
      <c r="B79" s="90" t="s">
        <v>67</v>
      </c>
      <c r="C79" s="103" t="s">
        <v>68</v>
      </c>
      <c r="D79" s="134"/>
      <c r="E79" s="134"/>
      <c r="F79" s="134"/>
      <c r="G79" s="134"/>
      <c r="H79" s="38">
        <f t="shared" ref="H79:J79" si="116">-H187</f>
        <v>0</v>
      </c>
      <c r="I79" s="38">
        <f t="shared" si="116"/>
        <v>0</v>
      </c>
      <c r="J79" s="38">
        <f t="shared" si="116"/>
        <v>0</v>
      </c>
      <c r="K79" s="84"/>
      <c r="L79" s="102"/>
      <c r="M79" s="102"/>
      <c r="N79" s="102"/>
      <c r="O79" s="102"/>
      <c r="P79" s="102"/>
      <c r="Q79" s="102"/>
      <c r="R79" s="102"/>
      <c r="S79" s="102"/>
      <c r="T79"/>
      <c r="U79" s="102"/>
      <c r="V79" s="102"/>
      <c r="W79"/>
      <c r="X79" s="102"/>
      <c r="Y79" s="102"/>
    </row>
    <row r="80" spans="2:25">
      <c r="B80" s="90" t="s">
        <v>69</v>
      </c>
      <c r="C80" s="103" t="s">
        <v>70</v>
      </c>
      <c r="D80" s="134"/>
      <c r="E80" s="134"/>
      <c r="F80" s="134"/>
      <c r="G80" s="134"/>
      <c r="H80" s="104"/>
      <c r="I80" s="104"/>
      <c r="J80" s="104"/>
      <c r="K80" s="84"/>
      <c r="L80" s="102"/>
      <c r="M80" s="102"/>
      <c r="N80" s="102"/>
      <c r="O80" s="102"/>
      <c r="P80" s="102"/>
      <c r="Q80" s="102"/>
      <c r="R80" s="102"/>
      <c r="S80" s="102"/>
      <c r="T80"/>
      <c r="U80" s="102"/>
      <c r="V80" s="102"/>
      <c r="W80"/>
      <c r="X80" s="102"/>
      <c r="Y80" s="102"/>
    </row>
    <row r="81" spans="2:25">
      <c r="B81" s="90" t="s">
        <v>71</v>
      </c>
      <c r="C81" s="103" t="s">
        <v>72</v>
      </c>
      <c r="D81" s="134"/>
      <c r="E81" s="134"/>
      <c r="F81" s="134"/>
      <c r="G81" s="134"/>
      <c r="H81" s="104"/>
      <c r="I81" s="104"/>
      <c r="J81" s="104"/>
      <c r="K81" s="84"/>
      <c r="L81" s="102"/>
      <c r="M81" s="102"/>
      <c r="N81" s="102"/>
      <c r="O81" s="102"/>
      <c r="P81" s="102"/>
      <c r="Q81" s="102"/>
      <c r="R81" s="102"/>
      <c r="S81" s="102"/>
      <c r="T81"/>
      <c r="U81" s="102"/>
      <c r="V81" s="102"/>
      <c r="W81"/>
      <c r="X81" s="102"/>
      <c r="Y81" s="102"/>
    </row>
    <row r="82" spans="2:25">
      <c r="B82" s="86" t="s">
        <v>73</v>
      </c>
      <c r="C82" s="103" t="s">
        <v>74</v>
      </c>
      <c r="D82" s="134"/>
      <c r="E82" s="134"/>
      <c r="F82" s="134"/>
      <c r="G82" s="134"/>
      <c r="H82" s="104"/>
      <c r="I82" s="104"/>
      <c r="J82" s="104"/>
      <c r="K82" s="84"/>
      <c r="L82" s="102"/>
      <c r="M82" s="102"/>
      <c r="N82" s="102"/>
      <c r="O82" s="102"/>
      <c r="P82" s="102"/>
      <c r="Q82" s="102"/>
      <c r="R82" s="102"/>
      <c r="S82" s="102"/>
      <c r="T82"/>
      <c r="U82" s="102"/>
      <c r="V82" s="102"/>
      <c r="W82"/>
      <c r="X82" s="102"/>
      <c r="Y82" s="102"/>
    </row>
    <row r="83" spans="2:25">
      <c r="B83" s="86" t="s">
        <v>75</v>
      </c>
      <c r="C83" s="103" t="s">
        <v>76</v>
      </c>
      <c r="D83" s="134"/>
      <c r="E83" s="134"/>
      <c r="F83" s="134"/>
      <c r="G83" s="134"/>
      <c r="H83" s="104"/>
      <c r="I83" s="104"/>
      <c r="J83" s="104"/>
      <c r="K83" s="84"/>
      <c r="L83" s="102"/>
      <c r="M83" s="102"/>
      <c r="N83" s="102"/>
      <c r="O83" s="102"/>
      <c r="P83" s="102"/>
      <c r="Q83" s="102"/>
      <c r="R83" s="102"/>
      <c r="S83" s="102"/>
      <c r="T83"/>
      <c r="U83" s="102"/>
      <c r="V83" s="102"/>
      <c r="W83"/>
      <c r="X83" s="102"/>
      <c r="Y83" s="102"/>
    </row>
    <row r="84" spans="2:25">
      <c r="B84" s="86" t="s">
        <v>77</v>
      </c>
      <c r="C84" s="103" t="s">
        <v>78</v>
      </c>
      <c r="D84" s="134"/>
      <c r="E84" s="134"/>
      <c r="F84" s="134"/>
      <c r="G84" s="134"/>
      <c r="H84" s="104"/>
      <c r="I84" s="104"/>
      <c r="J84" s="104"/>
      <c r="K84" s="84"/>
      <c r="L84" s="102"/>
      <c r="M84" s="102"/>
      <c r="N84" s="102"/>
      <c r="O84" s="102"/>
      <c r="P84" s="102"/>
      <c r="Q84" s="102"/>
      <c r="R84" s="102"/>
      <c r="S84" s="102"/>
      <c r="T84"/>
      <c r="U84" s="102"/>
      <c r="V84" s="102"/>
      <c r="W84"/>
      <c r="X84" s="102"/>
      <c r="Y84" s="102"/>
    </row>
    <row r="85" spans="2:25">
      <c r="B85" s="105" t="s">
        <v>79</v>
      </c>
      <c r="C85" s="103" t="s">
        <v>80</v>
      </c>
      <c r="D85" s="134"/>
      <c r="E85" s="134"/>
      <c r="F85" s="134"/>
      <c r="G85" s="134"/>
      <c r="H85" s="104"/>
      <c r="I85" s="104"/>
      <c r="J85" s="104"/>
      <c r="K85" s="106"/>
      <c r="L85" s="97"/>
      <c r="M85" s="97"/>
      <c r="N85" s="97"/>
      <c r="O85" s="97"/>
      <c r="P85" s="97"/>
      <c r="Q85" s="97"/>
      <c r="R85" s="97"/>
      <c r="S85" s="97"/>
      <c r="T85"/>
      <c r="U85" s="97"/>
      <c r="V85" s="97"/>
      <c r="W85"/>
      <c r="X85" s="97"/>
      <c r="Y85" s="97"/>
    </row>
    <row r="86" spans="2:25">
      <c r="B86" s="89" t="s">
        <v>81</v>
      </c>
      <c r="C86" s="99" t="s">
        <v>82</v>
      </c>
      <c r="D86" s="100">
        <f t="shared" ref="D86:E86" si="117">SUM(D78,D82:D85)</f>
        <v>0</v>
      </c>
      <c r="E86" s="100">
        <f t="shared" si="117"/>
        <v>0</v>
      </c>
      <c r="F86" s="100">
        <f>SUM(F78,F82:F85)</f>
        <v>0</v>
      </c>
      <c r="G86" s="100">
        <f t="shared" ref="G86:J86" si="118">SUM(G78,G82:G85)</f>
        <v>0</v>
      </c>
      <c r="H86" s="100">
        <f t="shared" si="118"/>
        <v>0</v>
      </c>
      <c r="I86" s="100">
        <f t="shared" si="118"/>
        <v>0</v>
      </c>
      <c r="J86" s="100">
        <f t="shared" si="118"/>
        <v>0</v>
      </c>
      <c r="K86" s="89"/>
      <c r="L86" s="101"/>
      <c r="M86" s="101"/>
      <c r="N86" s="101"/>
      <c r="O86" s="101"/>
      <c r="P86" s="101"/>
      <c r="Q86" s="101"/>
      <c r="R86" s="101"/>
      <c r="S86" s="101"/>
      <c r="T86"/>
      <c r="U86" s="101"/>
      <c r="V86" s="101"/>
      <c r="W86"/>
      <c r="X86" s="101"/>
      <c r="Y86" s="101"/>
    </row>
    <row r="87" spans="2:25">
      <c r="B87" s="89"/>
      <c r="C87" s="99"/>
      <c r="D87" s="101"/>
      <c r="E87" s="101"/>
      <c r="F87" s="101"/>
      <c r="G87" s="101"/>
      <c r="H87" s="101"/>
      <c r="I87" s="101"/>
      <c r="J87" s="101"/>
      <c r="K87" s="89"/>
      <c r="L87" s="101"/>
      <c r="M87" s="101"/>
      <c r="N87" s="101"/>
      <c r="O87" s="101"/>
      <c r="P87" s="101"/>
      <c r="Q87" s="101"/>
      <c r="R87" s="101"/>
      <c r="S87" s="101"/>
      <c r="T87"/>
      <c r="U87" s="101"/>
      <c r="V87" s="101"/>
      <c r="W87"/>
      <c r="X87" s="101"/>
      <c r="Y87" s="101"/>
    </row>
    <row r="88" spans="2:25">
      <c r="B88" s="89" t="s">
        <v>83</v>
      </c>
      <c r="C88" s="99" t="s">
        <v>84</v>
      </c>
      <c r="D88" s="101"/>
      <c r="E88" s="101"/>
      <c r="F88" s="101"/>
      <c r="G88" s="101"/>
      <c r="H88" s="101"/>
      <c r="I88" s="101"/>
      <c r="J88" s="101"/>
      <c r="K88" s="89"/>
      <c r="L88" s="101"/>
      <c r="M88" s="101"/>
      <c r="N88" s="101"/>
      <c r="O88" s="101"/>
      <c r="P88" s="101"/>
      <c r="Q88" s="101"/>
      <c r="R88" s="101"/>
      <c r="S88" s="101"/>
      <c r="T88"/>
      <c r="U88" s="101"/>
      <c r="V88" s="101"/>
      <c r="W88"/>
      <c r="X88" s="101"/>
      <c r="Y88" s="101"/>
    </row>
    <row r="89" spans="2:25">
      <c r="B89" s="86" t="s">
        <v>85</v>
      </c>
      <c r="C89" s="87" t="s">
        <v>86</v>
      </c>
      <c r="D89" s="134"/>
      <c r="E89" s="134"/>
      <c r="F89" s="134"/>
      <c r="G89" s="134"/>
      <c r="H89" s="92"/>
      <c r="I89" s="92"/>
      <c r="J89" s="92"/>
      <c r="K89" s="84"/>
      <c r="L89" s="107"/>
      <c r="M89" s="107"/>
      <c r="N89" s="107"/>
      <c r="O89" s="107"/>
      <c r="P89" s="107"/>
      <c r="Q89" s="107"/>
      <c r="R89" s="107"/>
      <c r="S89" s="107"/>
      <c r="T89"/>
      <c r="U89" s="107"/>
      <c r="V89" s="107"/>
      <c r="W89"/>
      <c r="X89" s="107"/>
      <c r="Y89" s="107"/>
    </row>
    <row r="90" spans="2:25">
      <c r="B90" s="86" t="s">
        <v>87</v>
      </c>
      <c r="C90" s="87" t="s">
        <v>88</v>
      </c>
      <c r="D90" s="134"/>
      <c r="E90" s="134"/>
      <c r="F90" s="134"/>
      <c r="G90" s="134"/>
      <c r="H90" s="92"/>
      <c r="I90" s="92"/>
      <c r="J90" s="92"/>
      <c r="K90" s="84"/>
      <c r="L90" s="107"/>
      <c r="M90" s="107"/>
      <c r="N90" s="107"/>
      <c r="O90" s="107"/>
      <c r="P90" s="107"/>
      <c r="Q90" s="107"/>
      <c r="R90" s="107"/>
      <c r="S90" s="107"/>
      <c r="T90"/>
      <c r="U90" s="107"/>
      <c r="V90" s="107"/>
      <c r="W90"/>
      <c r="X90" s="107"/>
      <c r="Y90" s="107"/>
    </row>
    <row r="91" spans="2:25">
      <c r="B91" s="86" t="s">
        <v>89</v>
      </c>
      <c r="C91" s="87" t="s">
        <v>90</v>
      </c>
      <c r="D91" s="134"/>
      <c r="E91" s="134"/>
      <c r="F91" s="134"/>
      <c r="G91" s="134"/>
      <c r="H91" s="92">
        <f>-G49</f>
        <v>0</v>
      </c>
      <c r="I91" s="92" t="e">
        <f>-H49</f>
        <v>#DIV/0!</v>
      </c>
      <c r="J91" s="92" t="e">
        <f>-I49</f>
        <v>#DIV/0!</v>
      </c>
      <c r="K91" s="84"/>
      <c r="L91" s="107"/>
      <c r="M91" s="107"/>
      <c r="N91" s="107"/>
      <c r="O91" s="107"/>
      <c r="P91" s="107"/>
      <c r="Q91" s="107"/>
      <c r="R91" s="107"/>
      <c r="S91" s="107"/>
      <c r="T91"/>
      <c r="U91" s="107"/>
      <c r="V91" s="107"/>
      <c r="W91"/>
      <c r="X91" s="107"/>
      <c r="Y91" s="107"/>
    </row>
    <row r="92" spans="2:25">
      <c r="B92" s="86" t="s">
        <v>91</v>
      </c>
      <c r="C92" s="87" t="s">
        <v>92</v>
      </c>
      <c r="D92" s="134"/>
      <c r="E92" s="134"/>
      <c r="F92" s="134"/>
      <c r="G92" s="134"/>
      <c r="H92" s="92"/>
      <c r="I92" s="92"/>
      <c r="J92" s="92"/>
      <c r="K92" s="84"/>
      <c r="L92" s="107"/>
      <c r="M92" s="107"/>
      <c r="N92" s="107"/>
      <c r="O92" s="107"/>
      <c r="P92" s="107"/>
      <c r="Q92" s="107"/>
      <c r="R92" s="107"/>
      <c r="S92" s="107"/>
      <c r="T92"/>
      <c r="U92" s="107"/>
      <c r="V92" s="107"/>
      <c r="W92"/>
      <c r="X92" s="107"/>
      <c r="Y92" s="107"/>
    </row>
    <row r="93" spans="2:25">
      <c r="B93" s="86" t="s">
        <v>93</v>
      </c>
      <c r="C93" s="87" t="s">
        <v>94</v>
      </c>
      <c r="D93" s="134"/>
      <c r="E93" s="134"/>
      <c r="F93" s="134"/>
      <c r="G93" s="134"/>
      <c r="H93" s="92"/>
      <c r="I93" s="92"/>
      <c r="J93" s="92"/>
      <c r="K93" s="84"/>
      <c r="L93" s="107"/>
      <c r="M93" s="107"/>
      <c r="N93" s="107"/>
      <c r="O93" s="107"/>
      <c r="P93" s="107"/>
      <c r="Q93" s="107"/>
      <c r="R93" s="107"/>
      <c r="S93" s="107"/>
      <c r="T93"/>
      <c r="U93" s="107"/>
      <c r="V93" s="107"/>
      <c r="W93"/>
      <c r="X93" s="107"/>
      <c r="Y93" s="107"/>
    </row>
    <row r="94" spans="2:25">
      <c r="B94" s="98" t="s">
        <v>95</v>
      </c>
      <c r="C94" s="99" t="s">
        <v>96</v>
      </c>
      <c r="D94" s="100">
        <f t="shared" ref="D94:J94" si="119">SUM(D89:D93)</f>
        <v>0</v>
      </c>
      <c r="E94" s="100">
        <f t="shared" si="119"/>
        <v>0</v>
      </c>
      <c r="F94" s="100">
        <f t="shared" si="119"/>
        <v>0</v>
      </c>
      <c r="G94" s="100">
        <f t="shared" si="119"/>
        <v>0</v>
      </c>
      <c r="H94" s="100">
        <f t="shared" si="119"/>
        <v>0</v>
      </c>
      <c r="I94" s="100" t="e">
        <f t="shared" si="119"/>
        <v>#DIV/0!</v>
      </c>
      <c r="J94" s="100" t="e">
        <f t="shared" si="119"/>
        <v>#DIV/0!</v>
      </c>
      <c r="K94" s="79"/>
      <c r="L94" s="100"/>
      <c r="M94" s="100"/>
      <c r="N94" s="100"/>
      <c r="O94" s="100"/>
      <c r="P94" s="100"/>
      <c r="Q94" s="100"/>
      <c r="R94" s="100"/>
      <c r="S94" s="100"/>
      <c r="T94"/>
      <c r="U94" s="100"/>
      <c r="V94" s="100"/>
      <c r="W94"/>
      <c r="X94" s="100"/>
      <c r="Y94" s="100"/>
    </row>
    <row r="95" spans="2:25">
      <c r="B95" s="89"/>
      <c r="C95" s="99"/>
      <c r="D95" s="101"/>
      <c r="E95" s="101"/>
      <c r="F95" s="101"/>
      <c r="G95" s="101"/>
      <c r="H95" s="101"/>
      <c r="I95" s="101"/>
      <c r="J95" s="101"/>
      <c r="K95" s="89"/>
      <c r="L95" s="101"/>
      <c r="M95" s="101"/>
      <c r="N95" s="101"/>
      <c r="O95" s="101"/>
      <c r="P95" s="101"/>
      <c r="Q95" s="101"/>
      <c r="R95" s="101"/>
      <c r="S95" s="101"/>
      <c r="T95"/>
      <c r="U95" s="101"/>
      <c r="V95" s="101"/>
      <c r="W95"/>
      <c r="X95" s="101"/>
      <c r="Y95" s="101"/>
    </row>
    <row r="96" spans="2:25">
      <c r="B96" s="98" t="s">
        <v>97</v>
      </c>
      <c r="C96" s="99" t="s">
        <v>98</v>
      </c>
      <c r="D96" s="101">
        <f t="shared" ref="D96:J96" si="120">D75+D86+D94</f>
        <v>0</v>
      </c>
      <c r="E96" s="101">
        <f t="shared" si="120"/>
        <v>0</v>
      </c>
      <c r="F96" s="101">
        <f t="shared" si="120"/>
        <v>0</v>
      </c>
      <c r="G96" s="101">
        <f>G75+G86+G94</f>
        <v>0</v>
      </c>
      <c r="H96" s="101" t="e">
        <f t="shared" si="120"/>
        <v>#DIV/0!</v>
      </c>
      <c r="I96" s="101" t="e">
        <f t="shared" si="120"/>
        <v>#DIV/0!</v>
      </c>
      <c r="J96" s="101" t="e">
        <f t="shared" si="120"/>
        <v>#DIV/0!</v>
      </c>
      <c r="K96" s="98"/>
      <c r="L96" s="101"/>
      <c r="M96" s="101"/>
      <c r="N96" s="101"/>
      <c r="O96" s="101"/>
      <c r="P96" s="101"/>
      <c r="Q96" s="101"/>
      <c r="R96" s="101"/>
      <c r="S96" s="101"/>
      <c r="T96"/>
      <c r="U96" s="101"/>
      <c r="V96" s="101"/>
      <c r="W96"/>
      <c r="X96" s="101"/>
      <c r="Y96" s="101"/>
    </row>
    <row r="97" spans="2:25">
      <c r="B97" s="86" t="s">
        <v>99</v>
      </c>
      <c r="C97" s="87" t="s">
        <v>100</v>
      </c>
      <c r="D97" s="107"/>
      <c r="E97" s="107">
        <f t="shared" ref="E97" si="121">D99</f>
        <v>0</v>
      </c>
      <c r="F97" s="107">
        <f t="shared" ref="F97" si="122">E99</f>
        <v>0</v>
      </c>
      <c r="G97" s="107">
        <f>F99</f>
        <v>0</v>
      </c>
      <c r="H97" s="107">
        <f>G99</f>
        <v>0</v>
      </c>
      <c r="I97" s="107" t="e">
        <f>H99</f>
        <v>#DIV/0!</v>
      </c>
      <c r="J97" s="107" t="e">
        <f t="shared" ref="J97" si="123">I99</f>
        <v>#DIV/0!</v>
      </c>
      <c r="K97" s="84"/>
      <c r="L97" s="102"/>
      <c r="M97" s="102"/>
      <c r="N97" s="102"/>
      <c r="O97" s="102"/>
      <c r="P97" s="102"/>
      <c r="Q97" s="102"/>
      <c r="R97" s="102"/>
      <c r="S97" s="102"/>
      <c r="T97"/>
      <c r="U97" s="102"/>
      <c r="V97" s="102"/>
      <c r="W97"/>
      <c r="X97" s="102"/>
      <c r="Y97" s="102"/>
    </row>
    <row r="98" spans="2:25">
      <c r="B98" s="105" t="s">
        <v>101</v>
      </c>
      <c r="C98" s="87" t="s">
        <v>102</v>
      </c>
      <c r="D98" s="134"/>
      <c r="E98" s="134"/>
      <c r="F98" s="134"/>
      <c r="G98" s="134"/>
      <c r="H98" s="36"/>
      <c r="I98" s="36"/>
      <c r="J98" s="36"/>
      <c r="K98" s="108"/>
      <c r="L98" s="102"/>
      <c r="M98" s="102"/>
      <c r="N98" s="102"/>
      <c r="O98" s="102"/>
      <c r="P98" s="102"/>
      <c r="Q98" s="102"/>
      <c r="R98" s="102"/>
      <c r="S98" s="102"/>
      <c r="T98"/>
      <c r="U98" s="102"/>
      <c r="V98" s="102"/>
      <c r="W98"/>
      <c r="X98" s="102"/>
      <c r="Y98" s="102"/>
    </row>
    <row r="99" spans="2:25">
      <c r="B99" s="89" t="s">
        <v>103</v>
      </c>
      <c r="C99" s="99" t="s">
        <v>104</v>
      </c>
      <c r="D99" s="100">
        <f t="shared" ref="D99:F99" si="124">SUM(D96:D98)</f>
        <v>0</v>
      </c>
      <c r="E99" s="100">
        <f t="shared" si="124"/>
        <v>0</v>
      </c>
      <c r="F99" s="100">
        <f t="shared" si="124"/>
        <v>0</v>
      </c>
      <c r="G99" s="100">
        <f>SUM(G96:G98)</f>
        <v>0</v>
      </c>
      <c r="H99" s="100" t="e">
        <f>SUM(H96:H98)</f>
        <v>#DIV/0!</v>
      </c>
      <c r="I99" s="100" t="e">
        <f t="shared" ref="I99:J99" si="125">SUM(I96:I98)</f>
        <v>#DIV/0!</v>
      </c>
      <c r="J99" s="100" t="e">
        <f t="shared" si="125"/>
        <v>#DIV/0!</v>
      </c>
      <c r="K99" s="79"/>
      <c r="L99" s="100"/>
      <c r="M99" s="100"/>
      <c r="N99" s="100"/>
      <c r="O99" s="100"/>
      <c r="P99" s="100"/>
      <c r="Q99" s="100"/>
      <c r="R99" s="100"/>
      <c r="S99" s="100"/>
      <c r="T99"/>
      <c r="U99" s="100"/>
      <c r="V99" s="100"/>
      <c r="W99"/>
      <c r="X99" s="100"/>
      <c r="Y99" s="100"/>
    </row>
    <row r="100" spans="2:25">
      <c r="N100" s="33"/>
      <c r="O100" s="33"/>
      <c r="P100" s="33"/>
      <c r="Q100" s="33"/>
      <c r="R100" s="33"/>
      <c r="S100" s="33"/>
      <c r="T100"/>
      <c r="U100" s="33"/>
      <c r="V100" s="33"/>
      <c r="W100"/>
      <c r="X100" s="33"/>
      <c r="Y100" s="33"/>
    </row>
    <row r="101" spans="2:25">
      <c r="N101" s="33"/>
      <c r="O101" s="33"/>
      <c r="P101" s="33"/>
      <c r="Q101" s="33"/>
      <c r="R101" s="33"/>
      <c r="S101" s="33"/>
      <c r="T101"/>
      <c r="U101" s="33"/>
      <c r="V101" s="33"/>
      <c r="W101"/>
      <c r="X101" s="33"/>
      <c r="Y101" s="33"/>
    </row>
    <row r="102" spans="2:25" ht="17.5">
      <c r="B102" s="9" t="s">
        <v>105</v>
      </c>
      <c r="C102" s="10" t="s">
        <v>106</v>
      </c>
      <c r="D102" s="11"/>
      <c r="E102" s="11"/>
      <c r="F102" s="11"/>
      <c r="G102" s="6"/>
      <c r="H102" s="6"/>
      <c r="I102" s="6"/>
      <c r="J102" s="6"/>
      <c r="K102" s="6"/>
      <c r="L102" s="11"/>
      <c r="M102" s="11"/>
      <c r="N102" s="11"/>
      <c r="O102" s="11"/>
      <c r="P102" s="11"/>
      <c r="Q102" s="11"/>
      <c r="R102" s="11"/>
      <c r="S102" s="11"/>
      <c r="T102"/>
      <c r="U102" s="11"/>
      <c r="V102" s="11"/>
      <c r="W102"/>
      <c r="X102" s="11"/>
      <c r="Y102" s="11"/>
    </row>
    <row r="103" spans="2:25">
      <c r="B103" s="79" t="s">
        <v>107</v>
      </c>
      <c r="C103" s="80" t="s">
        <v>108</v>
      </c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/>
      <c r="U103" s="100"/>
      <c r="V103" s="100"/>
      <c r="W103"/>
      <c r="X103" s="100"/>
      <c r="Y103" s="100"/>
    </row>
    <row r="104" spans="2:25">
      <c r="B104" s="105" t="s">
        <v>241</v>
      </c>
      <c r="C104" s="87" t="s">
        <v>242</v>
      </c>
      <c r="D104" s="134"/>
      <c r="E104" s="134"/>
      <c r="F104" s="134"/>
      <c r="G104" s="134"/>
      <c r="H104" s="112">
        <f>G104</f>
        <v>0</v>
      </c>
      <c r="I104" s="112">
        <f t="shared" ref="I104:J104" si="126">H104</f>
        <v>0</v>
      </c>
      <c r="J104" s="112">
        <f t="shared" si="126"/>
        <v>0</v>
      </c>
      <c r="K104" s="109"/>
      <c r="L104" s="111"/>
      <c r="M104" s="111"/>
      <c r="N104" s="111"/>
      <c r="O104" s="111"/>
      <c r="P104" s="111"/>
      <c r="Q104" s="111"/>
      <c r="R104" s="111"/>
      <c r="S104" s="111"/>
      <c r="T104"/>
      <c r="U104" s="111"/>
      <c r="V104" s="111"/>
      <c r="W104"/>
      <c r="X104" s="111"/>
      <c r="Y104" s="111"/>
    </row>
    <row r="105" spans="2:25">
      <c r="B105" s="86" t="s">
        <v>243</v>
      </c>
      <c r="C105" s="87" t="s">
        <v>244</v>
      </c>
      <c r="D105" s="134"/>
      <c r="E105" s="134"/>
      <c r="F105" s="134"/>
      <c r="G105" s="134"/>
      <c r="H105" s="112">
        <f t="shared" ref="H105:J115" si="127">G105</f>
        <v>0</v>
      </c>
      <c r="I105" s="112">
        <f t="shared" si="127"/>
        <v>0</v>
      </c>
      <c r="J105" s="112">
        <f t="shared" si="127"/>
        <v>0</v>
      </c>
      <c r="K105" s="109"/>
      <c r="L105" s="111"/>
      <c r="M105" s="111"/>
      <c r="N105" s="111"/>
      <c r="O105" s="111"/>
      <c r="P105" s="111"/>
      <c r="Q105" s="111"/>
      <c r="R105" s="111"/>
      <c r="S105" s="111"/>
      <c r="T105"/>
      <c r="U105" s="111"/>
      <c r="V105" s="111"/>
      <c r="W105"/>
      <c r="X105" s="111"/>
      <c r="Y105" s="111"/>
    </row>
    <row r="106" spans="2:25">
      <c r="B106" s="86" t="s">
        <v>164</v>
      </c>
      <c r="C106" s="87" t="s">
        <v>245</v>
      </c>
      <c r="D106" s="134"/>
      <c r="E106" s="134"/>
      <c r="F106" s="134"/>
      <c r="G106" s="134"/>
      <c r="H106" s="112">
        <f t="shared" si="127"/>
        <v>0</v>
      </c>
      <c r="I106" s="112">
        <f t="shared" si="127"/>
        <v>0</v>
      </c>
      <c r="J106" s="112">
        <f t="shared" si="127"/>
        <v>0</v>
      </c>
      <c r="K106" s="109"/>
      <c r="L106" s="111"/>
      <c r="M106" s="111"/>
      <c r="N106" s="111"/>
      <c r="O106" s="111"/>
      <c r="P106" s="111"/>
      <c r="Q106" s="111"/>
      <c r="R106" s="111"/>
      <c r="S106" s="111"/>
      <c r="T106"/>
      <c r="U106" s="111"/>
      <c r="V106" s="111"/>
      <c r="W106"/>
      <c r="X106" s="111"/>
      <c r="Y106" s="111"/>
    </row>
    <row r="107" spans="2:25">
      <c r="B107" s="86" t="s">
        <v>246</v>
      </c>
      <c r="C107" s="87" t="s">
        <v>183</v>
      </c>
      <c r="D107" s="134"/>
      <c r="E107" s="134"/>
      <c r="F107" s="134"/>
      <c r="G107" s="134"/>
      <c r="H107" s="193" t="e">
        <f>G107+(H205-G205)</f>
        <v>#DIV/0!</v>
      </c>
      <c r="I107" s="193" t="e">
        <f>G107+(I205-G205)</f>
        <v>#DIV/0!</v>
      </c>
      <c r="J107" s="193" t="e">
        <f>G107+(J205-G205)</f>
        <v>#DIV/0!</v>
      </c>
      <c r="K107" s="109"/>
      <c r="L107" s="111"/>
      <c r="M107" s="111"/>
      <c r="N107" s="111"/>
      <c r="O107" s="111"/>
      <c r="P107" s="111"/>
      <c r="Q107" s="111"/>
      <c r="R107" s="111"/>
      <c r="S107" s="111"/>
      <c r="T107"/>
      <c r="U107" s="111"/>
      <c r="V107" s="111"/>
      <c r="W107"/>
      <c r="X107" s="111"/>
      <c r="Y107" s="111"/>
    </row>
    <row r="108" spans="2:25">
      <c r="B108" s="86" t="s">
        <v>247</v>
      </c>
      <c r="C108" s="87" t="s">
        <v>248</v>
      </c>
      <c r="D108" s="134"/>
      <c r="E108" s="134"/>
      <c r="F108" s="134"/>
      <c r="G108" s="134"/>
      <c r="H108" s="112">
        <f t="shared" si="127"/>
        <v>0</v>
      </c>
      <c r="I108" s="112">
        <f t="shared" si="127"/>
        <v>0</v>
      </c>
      <c r="J108" s="112">
        <f t="shared" si="127"/>
        <v>0</v>
      </c>
      <c r="K108" s="109"/>
      <c r="L108" s="111"/>
      <c r="M108" s="111"/>
      <c r="N108" s="111"/>
      <c r="O108" s="111"/>
      <c r="P108" s="111"/>
      <c r="Q108" s="111"/>
      <c r="R108" s="111"/>
      <c r="S108" s="111"/>
      <c r="T108"/>
      <c r="U108" s="111"/>
      <c r="V108" s="111"/>
      <c r="W108"/>
      <c r="X108" s="111"/>
      <c r="Y108" s="111"/>
    </row>
    <row r="109" spans="2:25">
      <c r="B109" s="86" t="s">
        <v>165</v>
      </c>
      <c r="C109" s="87" t="s">
        <v>184</v>
      </c>
      <c r="D109" s="134"/>
      <c r="E109" s="134"/>
      <c r="F109" s="134"/>
      <c r="G109" s="134"/>
      <c r="H109" s="193" t="e">
        <f>G109+(H213-G213)</f>
        <v>#DIV/0!</v>
      </c>
      <c r="I109" s="193" t="e">
        <f>G109+(I213-G213)</f>
        <v>#DIV/0!</v>
      </c>
      <c r="J109" s="193" t="e">
        <f>G109+(J213-G213)</f>
        <v>#DIV/0!</v>
      </c>
      <c r="K109" s="109"/>
      <c r="L109" s="111"/>
      <c r="M109" s="111"/>
      <c r="N109" s="111"/>
      <c r="O109" s="111"/>
      <c r="P109" s="111"/>
      <c r="Q109" s="111"/>
      <c r="R109" s="111"/>
      <c r="S109" s="111"/>
      <c r="T109"/>
      <c r="U109" s="111"/>
      <c r="V109" s="111"/>
      <c r="W109"/>
      <c r="X109" s="111"/>
      <c r="Y109" s="111"/>
    </row>
    <row r="110" spans="2:25">
      <c r="B110" s="86" t="s">
        <v>249</v>
      </c>
      <c r="C110" s="87" t="s">
        <v>250</v>
      </c>
      <c r="D110" s="134"/>
      <c r="E110" s="134"/>
      <c r="F110" s="134"/>
      <c r="G110" s="134"/>
      <c r="H110" s="193" t="e">
        <f>G110+(H220-G220)</f>
        <v>#DIV/0!</v>
      </c>
      <c r="I110" s="193" t="e">
        <f>G110+(I220-G220)</f>
        <v>#DIV/0!</v>
      </c>
      <c r="J110" s="193" t="e">
        <f>G110+(J220-G220)</f>
        <v>#DIV/0!</v>
      </c>
      <c r="K110" s="109"/>
      <c r="L110" s="111"/>
      <c r="M110" s="111"/>
      <c r="N110" s="111"/>
      <c r="O110" s="111"/>
      <c r="P110" s="111"/>
      <c r="Q110" s="111"/>
      <c r="R110" s="111"/>
      <c r="S110" s="111"/>
      <c r="T110"/>
      <c r="U110" s="111"/>
      <c r="V110" s="111"/>
      <c r="W110"/>
      <c r="X110" s="111"/>
      <c r="Y110" s="111"/>
    </row>
    <row r="111" spans="2:25">
      <c r="B111" s="86" t="s">
        <v>251</v>
      </c>
      <c r="C111" s="87" t="s">
        <v>252</v>
      </c>
      <c r="D111" s="134"/>
      <c r="E111" s="134"/>
      <c r="F111" s="134"/>
      <c r="G111" s="134"/>
      <c r="H111" s="112">
        <f t="shared" si="127"/>
        <v>0</v>
      </c>
      <c r="I111" s="112">
        <f t="shared" si="127"/>
        <v>0</v>
      </c>
      <c r="J111" s="112">
        <f t="shared" si="127"/>
        <v>0</v>
      </c>
      <c r="K111" s="109"/>
      <c r="L111" s="111"/>
      <c r="M111" s="111"/>
      <c r="N111" s="111"/>
      <c r="O111" s="111"/>
      <c r="P111" s="111"/>
      <c r="Q111" s="111"/>
      <c r="R111" s="111"/>
      <c r="S111" s="111"/>
      <c r="T111"/>
      <c r="U111" s="111"/>
      <c r="V111" s="111"/>
      <c r="W111"/>
      <c r="X111" s="111"/>
      <c r="Y111" s="111"/>
    </row>
    <row r="112" spans="2:25">
      <c r="B112" s="86" t="s">
        <v>109</v>
      </c>
      <c r="C112" s="87" t="s">
        <v>253</v>
      </c>
      <c r="D112" s="134"/>
      <c r="E112" s="134"/>
      <c r="F112" s="134"/>
      <c r="G112" s="134"/>
      <c r="H112" s="112">
        <f t="shared" si="127"/>
        <v>0</v>
      </c>
      <c r="I112" s="112">
        <f t="shared" si="127"/>
        <v>0</v>
      </c>
      <c r="J112" s="112">
        <f t="shared" si="127"/>
        <v>0</v>
      </c>
      <c r="K112" s="109"/>
      <c r="L112" s="111"/>
      <c r="M112" s="111"/>
      <c r="N112" s="111"/>
      <c r="O112" s="111"/>
      <c r="P112" s="111"/>
      <c r="Q112" s="111"/>
      <c r="R112" s="111"/>
      <c r="S112" s="111"/>
      <c r="T112"/>
      <c r="U112" s="111"/>
      <c r="V112" s="111"/>
      <c r="W112"/>
      <c r="X112" s="111"/>
      <c r="Y112" s="111"/>
    </row>
    <row r="113" spans="2:25">
      <c r="B113" s="105" t="s">
        <v>254</v>
      </c>
      <c r="C113" s="87" t="s">
        <v>255</v>
      </c>
      <c r="D113" s="134"/>
      <c r="E113" s="134"/>
      <c r="F113" s="134"/>
      <c r="G113" s="134"/>
      <c r="H113" s="112">
        <f t="shared" si="127"/>
        <v>0</v>
      </c>
      <c r="I113" s="112">
        <f t="shared" si="127"/>
        <v>0</v>
      </c>
      <c r="J113" s="112">
        <f t="shared" si="127"/>
        <v>0</v>
      </c>
      <c r="K113" s="109"/>
      <c r="L113" s="111"/>
      <c r="M113" s="111"/>
      <c r="N113" s="111"/>
      <c r="O113" s="111"/>
      <c r="P113" s="111"/>
      <c r="Q113" s="111"/>
      <c r="R113" s="111"/>
      <c r="S113" s="111"/>
      <c r="T113"/>
      <c r="U113" s="111"/>
      <c r="V113" s="111"/>
      <c r="W113"/>
      <c r="X113" s="111"/>
      <c r="Y113" s="111"/>
    </row>
    <row r="114" spans="2:25">
      <c r="B114" s="86" t="s">
        <v>167</v>
      </c>
      <c r="C114" s="87" t="s">
        <v>256</v>
      </c>
      <c r="D114" s="134"/>
      <c r="E114" s="134"/>
      <c r="F114" s="134"/>
      <c r="G114" s="134"/>
      <c r="H114" s="112">
        <f t="shared" si="127"/>
        <v>0</v>
      </c>
      <c r="I114" s="112">
        <f t="shared" si="127"/>
        <v>0</v>
      </c>
      <c r="J114" s="112">
        <f t="shared" si="127"/>
        <v>0</v>
      </c>
      <c r="K114" s="109"/>
      <c r="L114" s="111"/>
      <c r="M114" s="111"/>
      <c r="N114" s="111"/>
      <c r="O114" s="111"/>
      <c r="P114" s="111"/>
      <c r="Q114" s="111"/>
      <c r="R114" s="111"/>
      <c r="S114" s="111"/>
      <c r="T114"/>
      <c r="U114" s="111"/>
      <c r="V114" s="111"/>
      <c r="W114"/>
      <c r="X114" s="111"/>
      <c r="Y114" s="111"/>
    </row>
    <row r="115" spans="2:25">
      <c r="B115" s="86" t="s">
        <v>257</v>
      </c>
      <c r="C115" s="87" t="s">
        <v>258</v>
      </c>
      <c r="D115" s="134"/>
      <c r="E115" s="134"/>
      <c r="F115" s="134"/>
      <c r="G115" s="134"/>
      <c r="H115" s="112">
        <f t="shared" si="127"/>
        <v>0</v>
      </c>
      <c r="I115" s="112">
        <f t="shared" si="127"/>
        <v>0</v>
      </c>
      <c r="J115" s="112">
        <f t="shared" si="127"/>
        <v>0</v>
      </c>
      <c r="K115" s="109"/>
      <c r="L115" s="111"/>
      <c r="M115" s="111"/>
      <c r="N115" s="111"/>
      <c r="O115" s="111"/>
      <c r="P115" s="111"/>
      <c r="Q115" s="111"/>
      <c r="R115" s="111"/>
      <c r="S115" s="111"/>
      <c r="T115"/>
      <c r="U115" s="111"/>
      <c r="V115" s="111"/>
      <c r="W115"/>
      <c r="X115" s="111"/>
      <c r="Y115" s="111"/>
    </row>
    <row r="116" spans="2:25">
      <c r="B116" s="89" t="s">
        <v>110</v>
      </c>
      <c r="C116" s="99" t="s">
        <v>111</v>
      </c>
      <c r="D116" s="113">
        <f t="shared" ref="D116:J116" si="128">SUM(D104:D115)</f>
        <v>0</v>
      </c>
      <c r="E116" s="113">
        <f t="shared" si="128"/>
        <v>0</v>
      </c>
      <c r="F116" s="113">
        <f t="shared" si="128"/>
        <v>0</v>
      </c>
      <c r="G116" s="113">
        <f t="shared" si="128"/>
        <v>0</v>
      </c>
      <c r="H116" s="113" t="e">
        <f t="shared" si="128"/>
        <v>#DIV/0!</v>
      </c>
      <c r="I116" s="113" t="e">
        <f t="shared" si="128"/>
        <v>#DIV/0!</v>
      </c>
      <c r="J116" s="113" t="e">
        <f t="shared" si="128"/>
        <v>#DIV/0!</v>
      </c>
      <c r="K116" s="113"/>
      <c r="L116" s="113"/>
      <c r="M116" s="113"/>
      <c r="N116" s="113"/>
      <c r="O116" s="113"/>
      <c r="P116" s="113"/>
      <c r="Q116" s="113"/>
      <c r="R116" s="113"/>
      <c r="S116" s="113"/>
      <c r="T116"/>
      <c r="U116" s="113"/>
      <c r="V116" s="113"/>
      <c r="W116"/>
      <c r="X116" s="113"/>
      <c r="Y116" s="113"/>
    </row>
    <row r="117" spans="2:25">
      <c r="B117" s="89"/>
      <c r="C117" s="99"/>
      <c r="D117" s="114"/>
      <c r="E117" s="114"/>
      <c r="F117" s="114"/>
      <c r="G117" s="115"/>
      <c r="H117" s="115"/>
      <c r="I117" s="115"/>
      <c r="J117" s="115"/>
      <c r="K117" s="114"/>
      <c r="L117" s="114"/>
      <c r="M117" s="114"/>
      <c r="N117" s="114"/>
      <c r="O117" s="114"/>
      <c r="P117" s="114"/>
      <c r="Q117" s="114"/>
      <c r="R117" s="114"/>
      <c r="S117" s="114"/>
      <c r="T117"/>
      <c r="U117" s="114"/>
      <c r="V117" s="114"/>
      <c r="W117"/>
      <c r="X117" s="114"/>
      <c r="Y117" s="114"/>
    </row>
    <row r="118" spans="2:25">
      <c r="B118" s="89" t="s">
        <v>112</v>
      </c>
      <c r="C118" s="99" t="s">
        <v>113</v>
      </c>
      <c r="D118" s="110"/>
      <c r="E118" s="110"/>
      <c r="F118" s="110"/>
      <c r="G118" s="112"/>
      <c r="H118" s="112"/>
      <c r="I118" s="112"/>
      <c r="J118" s="112"/>
      <c r="K118" s="110"/>
      <c r="L118" s="110"/>
      <c r="M118" s="110"/>
      <c r="N118" s="110"/>
      <c r="O118" s="110"/>
      <c r="P118" s="110"/>
      <c r="Q118" s="110"/>
      <c r="R118" s="110"/>
      <c r="S118" s="110"/>
      <c r="T118"/>
      <c r="U118" s="110"/>
      <c r="V118" s="110"/>
      <c r="W118"/>
      <c r="X118" s="110"/>
      <c r="Y118" s="110"/>
    </row>
    <row r="119" spans="2:25">
      <c r="B119" s="86" t="s">
        <v>114</v>
      </c>
      <c r="C119" s="87" t="s">
        <v>228</v>
      </c>
      <c r="D119" s="134"/>
      <c r="E119" s="134"/>
      <c r="F119" s="134"/>
      <c r="G119" s="134"/>
      <c r="H119" s="193" t="e">
        <f>H176</f>
        <v>#DIV/0!</v>
      </c>
      <c r="I119" s="193" t="e">
        <f>I176</f>
        <v>#DIV/0!</v>
      </c>
      <c r="J119" s="193" t="e">
        <f>J176</f>
        <v>#DIV/0!</v>
      </c>
      <c r="K119" s="110"/>
      <c r="L119" s="111"/>
      <c r="M119" s="111"/>
      <c r="N119" s="111"/>
      <c r="O119" s="111"/>
      <c r="P119" s="111"/>
      <c r="Q119" s="111"/>
      <c r="R119" s="111"/>
      <c r="S119" s="111"/>
      <c r="T119"/>
      <c r="U119" s="111"/>
      <c r="V119" s="111"/>
      <c r="W119"/>
      <c r="X119" s="111"/>
      <c r="Y119" s="111"/>
    </row>
    <row r="120" spans="2:25">
      <c r="B120" s="86" t="s">
        <v>232</v>
      </c>
      <c r="C120" s="87" t="s">
        <v>223</v>
      </c>
      <c r="D120" s="134"/>
      <c r="E120" s="134"/>
      <c r="F120" s="134"/>
      <c r="G120" s="134"/>
      <c r="H120" s="193" t="e">
        <f>H172*$G120/$G$172</f>
        <v>#DIV/0!</v>
      </c>
      <c r="I120" s="193" t="e">
        <f>I172*$G120/$G$172</f>
        <v>#DIV/0!</v>
      </c>
      <c r="J120" s="193" t="e">
        <f>J172*$G120/$G$172</f>
        <v>#DIV/0!</v>
      </c>
      <c r="K120" s="110"/>
      <c r="L120" s="111"/>
      <c r="M120" s="111"/>
      <c r="N120" s="111"/>
      <c r="O120" s="111"/>
      <c r="P120" s="111"/>
      <c r="Q120" s="111"/>
      <c r="R120" s="111"/>
      <c r="S120" s="111"/>
      <c r="T120"/>
      <c r="U120" s="111"/>
      <c r="V120" s="111"/>
      <c r="W120"/>
      <c r="X120" s="111"/>
      <c r="Y120" s="111"/>
    </row>
    <row r="121" spans="2:25">
      <c r="B121" s="86" t="s">
        <v>233</v>
      </c>
      <c r="C121" s="87" t="s">
        <v>224</v>
      </c>
      <c r="D121" s="134"/>
      <c r="E121" s="134"/>
      <c r="F121" s="134"/>
      <c r="G121" s="134"/>
      <c r="H121" s="193" t="e">
        <f>H172*$G121/$G$172</f>
        <v>#DIV/0!</v>
      </c>
      <c r="I121" s="193" t="e">
        <f>I172*$G121/$G$172</f>
        <v>#DIV/0!</v>
      </c>
      <c r="J121" s="193" t="e">
        <f>J172*$G121/$G$172</f>
        <v>#DIV/0!</v>
      </c>
      <c r="K121" s="110"/>
      <c r="L121" s="111"/>
      <c r="M121" s="111"/>
      <c r="N121" s="111"/>
      <c r="O121" s="111"/>
      <c r="P121" s="111"/>
      <c r="Q121" s="111"/>
      <c r="R121" s="111"/>
      <c r="S121" s="111"/>
      <c r="T121"/>
      <c r="U121" s="111"/>
      <c r="V121" s="111"/>
      <c r="W121"/>
      <c r="X121" s="111"/>
      <c r="Y121" s="111"/>
    </row>
    <row r="122" spans="2:25">
      <c r="B122" s="86" t="s">
        <v>234</v>
      </c>
      <c r="C122" s="87" t="s">
        <v>225</v>
      </c>
      <c r="D122" s="134"/>
      <c r="E122" s="134"/>
      <c r="F122" s="134"/>
      <c r="G122" s="134"/>
      <c r="H122" s="193" t="e">
        <f>H172*$G122/$G$172</f>
        <v>#DIV/0!</v>
      </c>
      <c r="I122" s="193" t="e">
        <f>I172*$G122/$G$172</f>
        <v>#DIV/0!</v>
      </c>
      <c r="J122" s="193" t="e">
        <f>J172*$G122/$G$172</f>
        <v>#DIV/0!</v>
      </c>
      <c r="K122" s="110"/>
      <c r="L122" s="111"/>
      <c r="M122" s="111"/>
      <c r="N122" s="111"/>
      <c r="O122" s="111"/>
      <c r="P122" s="111"/>
      <c r="Q122" s="111"/>
      <c r="R122" s="111"/>
      <c r="S122" s="111"/>
      <c r="T122"/>
      <c r="U122" s="111"/>
      <c r="V122" s="111"/>
      <c r="W122"/>
      <c r="X122" s="111"/>
      <c r="Y122" s="111"/>
    </row>
    <row r="123" spans="2:25">
      <c r="B123" s="86" t="s">
        <v>235</v>
      </c>
      <c r="C123" s="87" t="s">
        <v>226</v>
      </c>
      <c r="D123" s="134"/>
      <c r="E123" s="134"/>
      <c r="F123" s="134"/>
      <c r="G123" s="134"/>
      <c r="H123" s="193" t="e">
        <f>H174*$G123/$G$174</f>
        <v>#DIV/0!</v>
      </c>
      <c r="I123" s="193" t="e">
        <f>I174*$G123/$G$174</f>
        <v>#DIV/0!</v>
      </c>
      <c r="J123" s="193" t="e">
        <f>J174*$G123/$G$174</f>
        <v>#DIV/0!</v>
      </c>
      <c r="K123" s="110"/>
      <c r="L123" s="111"/>
      <c r="M123" s="111"/>
      <c r="N123" s="111"/>
      <c r="O123" s="111"/>
      <c r="P123" s="111"/>
      <c r="Q123" s="111"/>
      <c r="R123" s="111"/>
      <c r="S123" s="111"/>
      <c r="T123"/>
      <c r="U123" s="111"/>
      <c r="V123" s="111"/>
      <c r="W123"/>
      <c r="X123" s="111"/>
      <c r="Y123" s="111"/>
    </row>
    <row r="124" spans="2:25">
      <c r="B124" s="86" t="s">
        <v>236</v>
      </c>
      <c r="C124" s="87" t="s">
        <v>227</v>
      </c>
      <c r="D124" s="134"/>
      <c r="E124" s="134"/>
      <c r="F124" s="134"/>
      <c r="G124" s="134"/>
      <c r="H124" s="193" t="e">
        <f>H174*$G124/$G$174</f>
        <v>#DIV/0!</v>
      </c>
      <c r="I124" s="193" t="e">
        <f>I174*$G124/$G$174</f>
        <v>#DIV/0!</v>
      </c>
      <c r="J124" s="193" t="e">
        <f>J174*$G124/$G$174</f>
        <v>#DIV/0!</v>
      </c>
      <c r="K124" s="110"/>
      <c r="L124" s="111"/>
      <c r="M124" s="111"/>
      <c r="N124" s="111"/>
      <c r="O124" s="111"/>
      <c r="P124" s="111"/>
      <c r="Q124" s="111"/>
      <c r="R124" s="111"/>
      <c r="S124" s="111"/>
      <c r="T124"/>
      <c r="U124" s="111"/>
      <c r="V124" s="111"/>
      <c r="W124"/>
      <c r="X124" s="111"/>
      <c r="Y124" s="111"/>
    </row>
    <row r="125" spans="2:25">
      <c r="B125" s="86" t="s">
        <v>237</v>
      </c>
      <c r="C125" s="87" t="s">
        <v>229</v>
      </c>
      <c r="D125" s="134"/>
      <c r="E125" s="134"/>
      <c r="F125" s="134"/>
      <c r="G125" s="134"/>
      <c r="H125" s="193" t="e">
        <f>H174*$G125/$G$174</f>
        <v>#DIV/0!</v>
      </c>
      <c r="I125" s="193" t="e">
        <f>I174*$G125/$G$174</f>
        <v>#DIV/0!</v>
      </c>
      <c r="J125" s="193" t="e">
        <f>J174*$G125/$G$174</f>
        <v>#DIV/0!</v>
      </c>
      <c r="K125" s="110"/>
      <c r="L125" s="111"/>
      <c r="M125" s="111"/>
      <c r="N125" s="111"/>
      <c r="O125" s="111"/>
      <c r="P125" s="111"/>
      <c r="Q125" s="111"/>
      <c r="R125" s="111"/>
      <c r="S125" s="111"/>
      <c r="T125"/>
      <c r="U125" s="111"/>
      <c r="V125" s="111"/>
      <c r="W125"/>
      <c r="X125" s="111"/>
      <c r="Y125" s="111"/>
    </row>
    <row r="126" spans="2:25">
      <c r="B126" s="86" t="s">
        <v>238</v>
      </c>
      <c r="C126" s="87" t="s">
        <v>231</v>
      </c>
      <c r="D126" s="134"/>
      <c r="E126" s="134"/>
      <c r="F126" s="134"/>
      <c r="G126" s="134"/>
      <c r="H126" s="112">
        <f t="shared" ref="H126:J130" si="129">G126</f>
        <v>0</v>
      </c>
      <c r="I126" s="112">
        <f t="shared" si="129"/>
        <v>0</v>
      </c>
      <c r="J126" s="112">
        <f t="shared" si="129"/>
        <v>0</v>
      </c>
      <c r="K126" s="110"/>
      <c r="L126" s="111"/>
      <c r="M126" s="111"/>
      <c r="N126" s="111"/>
      <c r="O126" s="111"/>
      <c r="P126" s="111"/>
      <c r="Q126" s="111"/>
      <c r="R126" s="111"/>
      <c r="S126" s="111"/>
      <c r="T126"/>
      <c r="U126" s="111"/>
      <c r="V126" s="111"/>
      <c r="W126"/>
      <c r="X126" s="111"/>
      <c r="Y126" s="111"/>
    </row>
    <row r="127" spans="2:25">
      <c r="B127" s="86" t="s">
        <v>239</v>
      </c>
      <c r="C127" s="87" t="s">
        <v>230</v>
      </c>
      <c r="D127" s="134"/>
      <c r="E127" s="134"/>
      <c r="F127" s="134"/>
      <c r="G127" s="134"/>
      <c r="H127" s="193" t="e">
        <f>H174*$G127/$G$174</f>
        <v>#DIV/0!</v>
      </c>
      <c r="I127" s="193" t="e">
        <f>I174*$G127/$G$174</f>
        <v>#DIV/0!</v>
      </c>
      <c r="J127" s="193" t="e">
        <f>J174*$G127/$G$174</f>
        <v>#DIV/0!</v>
      </c>
      <c r="K127" s="110"/>
      <c r="L127" s="111"/>
      <c r="M127" s="111"/>
      <c r="N127" s="111"/>
      <c r="O127" s="111"/>
      <c r="P127" s="111"/>
      <c r="Q127" s="111"/>
      <c r="R127" s="111"/>
      <c r="S127" s="111"/>
      <c r="T127"/>
      <c r="U127" s="111"/>
      <c r="V127" s="111"/>
      <c r="W127"/>
      <c r="X127" s="111"/>
      <c r="Y127" s="111"/>
    </row>
    <row r="128" spans="2:25">
      <c r="B128" s="86" t="s">
        <v>240</v>
      </c>
      <c r="C128" s="87" t="s">
        <v>222</v>
      </c>
      <c r="D128" s="134"/>
      <c r="E128" s="134"/>
      <c r="F128" s="134"/>
      <c r="G128" s="134"/>
      <c r="H128" s="112">
        <f t="shared" si="129"/>
        <v>0</v>
      </c>
      <c r="I128" s="112">
        <f t="shared" si="129"/>
        <v>0</v>
      </c>
      <c r="J128" s="112">
        <f t="shared" si="129"/>
        <v>0</v>
      </c>
      <c r="K128" s="110"/>
      <c r="L128" s="111"/>
      <c r="M128" s="111"/>
      <c r="N128" s="111"/>
      <c r="O128" s="111"/>
      <c r="P128" s="111"/>
      <c r="Q128" s="111"/>
      <c r="R128" s="111"/>
      <c r="S128" s="111"/>
      <c r="T128"/>
      <c r="U128" s="111"/>
      <c r="V128" s="111"/>
      <c r="W128"/>
      <c r="X128" s="111"/>
      <c r="Y128" s="111"/>
    </row>
    <row r="129" spans="2:25">
      <c r="B129" s="86" t="s">
        <v>170</v>
      </c>
      <c r="C129" s="87" t="s">
        <v>305</v>
      </c>
      <c r="D129" s="134">
        <f>D99</f>
        <v>0</v>
      </c>
      <c r="E129" s="134">
        <f>E99</f>
        <v>0</v>
      </c>
      <c r="F129" s="134">
        <f>F99</f>
        <v>0</v>
      </c>
      <c r="G129" s="134">
        <f>G99</f>
        <v>0</v>
      </c>
      <c r="H129" s="109" t="e">
        <f>H99</f>
        <v>#DIV/0!</v>
      </c>
      <c r="I129" s="109" t="e">
        <f t="shared" ref="I129:J129" si="130">I99</f>
        <v>#DIV/0!</v>
      </c>
      <c r="J129" s="109" t="e">
        <f t="shared" si="130"/>
        <v>#DIV/0!</v>
      </c>
      <c r="K129" s="110"/>
      <c r="L129" s="111"/>
      <c r="M129" s="111"/>
      <c r="N129" s="111"/>
      <c r="O129" s="111"/>
      <c r="P129" s="111"/>
      <c r="Q129" s="111"/>
      <c r="R129" s="111"/>
      <c r="S129" s="111"/>
      <c r="T129"/>
      <c r="U129" s="111"/>
      <c r="V129" s="111"/>
      <c r="W129"/>
      <c r="X129" s="111"/>
      <c r="Y129" s="111"/>
    </row>
    <row r="130" spans="2:25">
      <c r="B130" s="86" t="s">
        <v>306</v>
      </c>
      <c r="C130" s="87" t="s">
        <v>307</v>
      </c>
      <c r="D130" s="134"/>
      <c r="E130" s="134"/>
      <c r="F130" s="134"/>
      <c r="G130" s="134"/>
      <c r="H130" s="112">
        <f>G130</f>
        <v>0</v>
      </c>
      <c r="I130" s="112">
        <f t="shared" si="129"/>
        <v>0</v>
      </c>
      <c r="J130" s="112">
        <f t="shared" si="129"/>
        <v>0</v>
      </c>
      <c r="K130" s="110"/>
      <c r="L130" s="111"/>
      <c r="M130" s="111"/>
      <c r="N130" s="111"/>
      <c r="O130" s="111"/>
      <c r="P130" s="111"/>
      <c r="Q130" s="111"/>
      <c r="R130" s="111"/>
      <c r="S130" s="111"/>
      <c r="T130"/>
      <c r="U130" s="111"/>
      <c r="V130" s="111"/>
      <c r="W130"/>
      <c r="X130" s="111"/>
      <c r="Y130" s="111"/>
    </row>
    <row r="131" spans="2:25">
      <c r="B131" s="89" t="s">
        <v>115</v>
      </c>
      <c r="C131" s="99" t="s">
        <v>116</v>
      </c>
      <c r="D131" s="113">
        <f t="shared" ref="D131:J131" si="131">SUM(D119:D130)</f>
        <v>0</v>
      </c>
      <c r="E131" s="113">
        <f t="shared" si="131"/>
        <v>0</v>
      </c>
      <c r="F131" s="113">
        <f t="shared" si="131"/>
        <v>0</v>
      </c>
      <c r="G131" s="113">
        <f t="shared" si="131"/>
        <v>0</v>
      </c>
      <c r="H131" s="113" t="e">
        <f t="shared" si="131"/>
        <v>#DIV/0!</v>
      </c>
      <c r="I131" s="113" t="e">
        <f t="shared" si="131"/>
        <v>#DIV/0!</v>
      </c>
      <c r="J131" s="113" t="e">
        <f t="shared" si="131"/>
        <v>#DIV/0!</v>
      </c>
      <c r="K131" s="113"/>
      <c r="L131" s="113"/>
      <c r="M131" s="113"/>
      <c r="N131" s="113"/>
      <c r="O131" s="113"/>
      <c r="P131" s="113"/>
      <c r="Q131" s="113"/>
      <c r="R131" s="113"/>
      <c r="S131" s="113"/>
      <c r="T131"/>
      <c r="U131" s="113"/>
      <c r="V131" s="113"/>
      <c r="W131"/>
      <c r="X131" s="113"/>
      <c r="Y131" s="113"/>
    </row>
    <row r="132" spans="2:25">
      <c r="B132" s="89"/>
      <c r="C132" s="99"/>
      <c r="D132" s="114"/>
      <c r="E132" s="114"/>
      <c r="F132" s="114"/>
      <c r="G132" s="115"/>
      <c r="H132" s="115"/>
      <c r="I132" s="115"/>
      <c r="J132" s="115"/>
      <c r="K132" s="114"/>
      <c r="L132" s="114"/>
      <c r="M132" s="114"/>
      <c r="N132" s="114"/>
      <c r="O132" s="114"/>
      <c r="P132" s="114"/>
      <c r="Q132" s="114"/>
      <c r="R132" s="114"/>
      <c r="S132" s="114"/>
      <c r="T132"/>
      <c r="U132" s="114"/>
      <c r="V132" s="114"/>
      <c r="W132"/>
      <c r="X132" s="114"/>
      <c r="Y132" s="114"/>
    </row>
    <row r="133" spans="2:25">
      <c r="B133" s="89" t="s">
        <v>117</v>
      </c>
      <c r="C133" s="99" t="s">
        <v>118</v>
      </c>
      <c r="D133" s="110"/>
      <c r="E133" s="110"/>
      <c r="F133" s="110"/>
      <c r="G133" s="112"/>
      <c r="H133" s="112"/>
      <c r="I133" s="112"/>
      <c r="J133" s="112"/>
      <c r="K133" s="110"/>
      <c r="L133" s="110"/>
      <c r="M133" s="110"/>
      <c r="N133" s="110"/>
      <c r="O133" s="110"/>
      <c r="P133" s="110"/>
      <c r="Q133" s="110"/>
      <c r="R133" s="110"/>
      <c r="S133" s="110"/>
      <c r="T133"/>
      <c r="U133" s="110"/>
      <c r="V133" s="110"/>
      <c r="W133"/>
      <c r="X133" s="110"/>
      <c r="Y133" s="110"/>
    </row>
    <row r="134" spans="2:25">
      <c r="B134" s="86" t="s">
        <v>259</v>
      </c>
      <c r="C134" s="87" t="s">
        <v>260</v>
      </c>
      <c r="D134" s="134"/>
      <c r="E134" s="134"/>
      <c r="F134" s="134"/>
      <c r="G134" s="134"/>
      <c r="H134" s="112">
        <f t="shared" ref="H134:J143" si="132">G134</f>
        <v>0</v>
      </c>
      <c r="I134" s="112">
        <f t="shared" si="132"/>
        <v>0</v>
      </c>
      <c r="J134" s="112">
        <f t="shared" si="132"/>
        <v>0</v>
      </c>
      <c r="K134" s="109"/>
      <c r="L134" s="117"/>
      <c r="M134" s="117"/>
      <c r="N134" s="117"/>
      <c r="O134" s="117"/>
      <c r="P134" s="117"/>
      <c r="Q134" s="117"/>
      <c r="R134" s="117"/>
      <c r="S134" s="117"/>
      <c r="T134"/>
      <c r="U134" s="117"/>
      <c r="V134" s="117"/>
      <c r="W134"/>
      <c r="X134" s="117"/>
      <c r="Y134" s="117"/>
    </row>
    <row r="135" spans="2:25">
      <c r="B135" s="86" t="s">
        <v>261</v>
      </c>
      <c r="C135" s="87" t="s">
        <v>262</v>
      </c>
      <c r="D135" s="134"/>
      <c r="E135" s="134"/>
      <c r="F135" s="134"/>
      <c r="G135" s="134"/>
      <c r="H135" s="193" t="e">
        <f>H178*$G135/$G$178</f>
        <v>#DIV/0!</v>
      </c>
      <c r="I135" s="193" t="e">
        <f>I178*$G135/$G$178</f>
        <v>#DIV/0!</v>
      </c>
      <c r="J135" s="193" t="e">
        <f>J178*$G135/$G$178</f>
        <v>#DIV/0!</v>
      </c>
      <c r="K135" s="109"/>
      <c r="L135" s="117"/>
      <c r="M135" s="117"/>
      <c r="N135" s="117"/>
      <c r="O135" s="117"/>
      <c r="P135" s="117"/>
      <c r="Q135" s="117"/>
      <c r="R135" s="117"/>
      <c r="S135" s="117"/>
      <c r="T135"/>
      <c r="U135" s="117"/>
      <c r="V135" s="117"/>
      <c r="W135"/>
      <c r="X135" s="117"/>
      <c r="Y135" s="117"/>
    </row>
    <row r="136" spans="2:25">
      <c r="B136" s="86" t="s">
        <v>263</v>
      </c>
      <c r="C136" s="87" t="s">
        <v>264</v>
      </c>
      <c r="D136" s="134"/>
      <c r="E136" s="134"/>
      <c r="F136" s="134"/>
      <c r="G136" s="134"/>
      <c r="H136" s="193" t="e">
        <f>H178*$G136/$G$178</f>
        <v>#DIV/0!</v>
      </c>
      <c r="I136" s="193" t="e">
        <f>I178*$G136/$G$178</f>
        <v>#DIV/0!</v>
      </c>
      <c r="J136" s="193" t="e">
        <f>J178*$G136/$G$178</f>
        <v>#DIV/0!</v>
      </c>
      <c r="K136" s="109"/>
      <c r="L136" s="117"/>
      <c r="M136" s="117"/>
      <c r="N136" s="117"/>
      <c r="O136" s="117"/>
      <c r="P136" s="117"/>
      <c r="Q136" s="117"/>
      <c r="R136" s="117"/>
      <c r="S136" s="117"/>
      <c r="T136"/>
      <c r="U136" s="117"/>
      <c r="V136" s="117"/>
      <c r="W136"/>
      <c r="X136" s="117"/>
      <c r="Y136" s="117"/>
    </row>
    <row r="137" spans="2:25">
      <c r="B137" s="86" t="s">
        <v>265</v>
      </c>
      <c r="C137" s="87" t="s">
        <v>266</v>
      </c>
      <c r="D137" s="134"/>
      <c r="E137" s="134"/>
      <c r="F137" s="134"/>
      <c r="G137" s="134"/>
      <c r="H137" s="193" t="e">
        <f>H180*$G137/$G$180</f>
        <v>#DIV/0!</v>
      </c>
      <c r="I137" s="193" t="e">
        <f>I180*$G137/$G$180</f>
        <v>#DIV/0!</v>
      </c>
      <c r="J137" s="193" t="e">
        <f>J180*$G137/$G$180</f>
        <v>#DIV/0!</v>
      </c>
      <c r="K137" s="109"/>
      <c r="L137" s="117"/>
      <c r="M137" s="117"/>
      <c r="N137" s="117"/>
      <c r="O137" s="117"/>
      <c r="P137" s="117"/>
      <c r="Q137" s="117"/>
      <c r="R137" s="117"/>
      <c r="S137" s="117"/>
      <c r="T137"/>
      <c r="U137" s="117"/>
      <c r="V137" s="117"/>
      <c r="W137"/>
      <c r="X137" s="117"/>
      <c r="Y137" s="117"/>
    </row>
    <row r="138" spans="2:25">
      <c r="B138" s="86" t="s">
        <v>267</v>
      </c>
      <c r="C138" s="87" t="s">
        <v>268</v>
      </c>
      <c r="D138" s="134"/>
      <c r="E138" s="134"/>
      <c r="F138" s="134"/>
      <c r="G138" s="134"/>
      <c r="H138" s="193" t="e">
        <f>H180*$G138/$G$180</f>
        <v>#DIV/0!</v>
      </c>
      <c r="I138" s="193" t="e">
        <f>I180*$G138/$G$180</f>
        <v>#DIV/0!</v>
      </c>
      <c r="J138" s="193" t="e">
        <f>J180*$G138/$G$180</f>
        <v>#DIV/0!</v>
      </c>
      <c r="K138" s="109"/>
      <c r="L138" s="117"/>
      <c r="M138" s="117"/>
      <c r="N138" s="117"/>
      <c r="O138" s="117"/>
      <c r="P138" s="117"/>
      <c r="Q138" s="117"/>
      <c r="R138" s="117"/>
      <c r="S138" s="117"/>
      <c r="T138"/>
      <c r="U138" s="117"/>
      <c r="V138" s="117"/>
      <c r="W138"/>
      <c r="X138" s="117"/>
      <c r="Y138" s="117"/>
    </row>
    <row r="139" spans="2:25">
      <c r="B139" s="86" t="s">
        <v>269</v>
      </c>
      <c r="C139" s="87" t="s">
        <v>270</v>
      </c>
      <c r="D139" s="134"/>
      <c r="E139" s="134"/>
      <c r="F139" s="134"/>
      <c r="G139" s="134"/>
      <c r="H139" s="193" t="e">
        <f>H180*$G139/$G$180</f>
        <v>#DIV/0!</v>
      </c>
      <c r="I139" s="193" t="e">
        <f>I180*$G139/$G$180</f>
        <v>#DIV/0!</v>
      </c>
      <c r="J139" s="193" t="e">
        <f>J180*$G139/$G$180</f>
        <v>#DIV/0!</v>
      </c>
      <c r="K139" s="109"/>
      <c r="L139" s="117"/>
      <c r="M139" s="117"/>
      <c r="N139" s="117"/>
      <c r="O139" s="117"/>
      <c r="P139" s="117"/>
      <c r="Q139" s="117"/>
      <c r="R139" s="117"/>
      <c r="S139" s="117"/>
      <c r="T139"/>
      <c r="U139" s="117"/>
      <c r="V139" s="117"/>
      <c r="W139"/>
      <c r="X139" s="117"/>
      <c r="Y139" s="117"/>
    </row>
    <row r="140" spans="2:25">
      <c r="B140" s="86" t="s">
        <v>119</v>
      </c>
      <c r="C140" s="87" t="s">
        <v>271</v>
      </c>
      <c r="D140" s="134"/>
      <c r="E140" s="134"/>
      <c r="F140" s="134"/>
      <c r="G140" s="134"/>
      <c r="H140" s="193" t="e">
        <f>H180*$G140/$G$180</f>
        <v>#DIV/0!</v>
      </c>
      <c r="I140" s="193" t="e">
        <f>I180*$G140/$G$180</f>
        <v>#DIV/0!</v>
      </c>
      <c r="J140" s="193" t="e">
        <f>J180*$G140/$G$180</f>
        <v>#DIV/0!</v>
      </c>
      <c r="K140" s="109"/>
      <c r="L140" s="117"/>
      <c r="M140" s="117"/>
      <c r="N140" s="117"/>
      <c r="O140" s="117"/>
      <c r="P140" s="117"/>
      <c r="Q140" s="117"/>
      <c r="R140" s="117"/>
      <c r="S140" s="117"/>
      <c r="T140"/>
      <c r="U140" s="117"/>
      <c r="V140" s="117"/>
      <c r="W140"/>
      <c r="X140" s="117"/>
      <c r="Y140" s="117"/>
    </row>
    <row r="141" spans="2:25">
      <c r="B141" s="86" t="s">
        <v>272</v>
      </c>
      <c r="C141" s="87" t="s">
        <v>273</v>
      </c>
      <c r="D141" s="134"/>
      <c r="E141" s="134"/>
      <c r="F141" s="134"/>
      <c r="G141" s="134"/>
      <c r="H141" s="112">
        <f t="shared" si="132"/>
        <v>0</v>
      </c>
      <c r="I141" s="112">
        <f t="shared" si="132"/>
        <v>0</v>
      </c>
      <c r="J141" s="112">
        <f t="shared" si="132"/>
        <v>0</v>
      </c>
      <c r="K141" s="109"/>
      <c r="L141" s="117"/>
      <c r="M141" s="117"/>
      <c r="N141" s="117"/>
      <c r="O141" s="117"/>
      <c r="P141" s="117"/>
      <c r="Q141" s="117"/>
      <c r="R141" s="117"/>
      <c r="S141" s="117"/>
      <c r="T141"/>
      <c r="U141" s="117"/>
      <c r="V141" s="117"/>
      <c r="W141"/>
      <c r="X141" s="117"/>
      <c r="Y141" s="117"/>
    </row>
    <row r="142" spans="2:25">
      <c r="B142" s="86" t="s">
        <v>274</v>
      </c>
      <c r="C142" s="87" t="s">
        <v>275</v>
      </c>
      <c r="D142" s="134"/>
      <c r="E142" s="134"/>
      <c r="F142" s="134"/>
      <c r="G142" s="134"/>
      <c r="H142" s="112">
        <f t="shared" si="132"/>
        <v>0</v>
      </c>
      <c r="I142" s="112">
        <f t="shared" si="132"/>
        <v>0</v>
      </c>
      <c r="J142" s="112">
        <f t="shared" si="132"/>
        <v>0</v>
      </c>
      <c r="K142" s="109"/>
      <c r="L142" s="117"/>
      <c r="M142" s="117"/>
      <c r="N142" s="117"/>
      <c r="O142" s="117"/>
      <c r="P142" s="117"/>
      <c r="Q142" s="117"/>
      <c r="R142" s="117"/>
      <c r="S142" s="117"/>
      <c r="T142"/>
      <c r="U142" s="117"/>
      <c r="V142" s="117"/>
      <c r="W142"/>
      <c r="X142" s="117"/>
      <c r="Y142" s="117"/>
    </row>
    <row r="143" spans="2:25">
      <c r="B143" s="86" t="s">
        <v>276</v>
      </c>
      <c r="C143" s="87" t="s">
        <v>277</v>
      </c>
      <c r="D143" s="134"/>
      <c r="E143" s="134"/>
      <c r="F143" s="134"/>
      <c r="G143" s="134"/>
      <c r="H143" s="112">
        <f t="shared" si="132"/>
        <v>0</v>
      </c>
      <c r="I143" s="112">
        <f t="shared" si="132"/>
        <v>0</v>
      </c>
      <c r="J143" s="112">
        <f t="shared" si="132"/>
        <v>0</v>
      </c>
      <c r="K143" s="109"/>
      <c r="L143" s="111"/>
      <c r="M143" s="111"/>
      <c r="N143" s="111"/>
      <c r="O143" s="111"/>
      <c r="P143" s="111"/>
      <c r="Q143" s="111"/>
      <c r="R143" s="111"/>
      <c r="S143" s="111"/>
      <c r="T143"/>
      <c r="U143" s="111"/>
      <c r="V143" s="111"/>
      <c r="W143"/>
      <c r="X143" s="111"/>
      <c r="Y143" s="111"/>
    </row>
    <row r="144" spans="2:25">
      <c r="B144" s="89" t="s">
        <v>120</v>
      </c>
      <c r="C144" s="99" t="s">
        <v>121</v>
      </c>
      <c r="D144" s="113">
        <f t="shared" ref="D144:J144" si="133">SUM(D134:D143)</f>
        <v>0</v>
      </c>
      <c r="E144" s="113">
        <f t="shared" si="133"/>
        <v>0</v>
      </c>
      <c r="F144" s="113">
        <f t="shared" si="133"/>
        <v>0</v>
      </c>
      <c r="G144" s="113">
        <f t="shared" si="133"/>
        <v>0</v>
      </c>
      <c r="H144" s="113" t="e">
        <f t="shared" si="133"/>
        <v>#DIV/0!</v>
      </c>
      <c r="I144" s="113" t="e">
        <f t="shared" si="133"/>
        <v>#DIV/0!</v>
      </c>
      <c r="J144" s="113" t="e">
        <f t="shared" si="133"/>
        <v>#DIV/0!</v>
      </c>
      <c r="K144" s="113"/>
      <c r="L144" s="113"/>
      <c r="M144" s="113"/>
      <c r="N144" s="113"/>
      <c r="O144" s="113"/>
      <c r="P144" s="113"/>
      <c r="Q144" s="113"/>
      <c r="R144" s="113"/>
      <c r="S144" s="113"/>
      <c r="T144"/>
      <c r="U144" s="113"/>
      <c r="V144" s="113"/>
      <c r="W144"/>
      <c r="X144" s="113"/>
      <c r="Y144" s="113"/>
    </row>
    <row r="145" spans="2:25">
      <c r="B145" s="89"/>
      <c r="C145" s="99"/>
      <c r="D145" s="114"/>
      <c r="E145" s="114"/>
      <c r="F145" s="114"/>
      <c r="G145" s="115"/>
      <c r="H145" s="115"/>
      <c r="I145" s="115"/>
      <c r="J145" s="115"/>
      <c r="K145" s="114"/>
      <c r="L145" s="114"/>
      <c r="M145" s="114"/>
      <c r="N145" s="114"/>
      <c r="O145" s="114"/>
      <c r="P145" s="114"/>
      <c r="Q145" s="114"/>
      <c r="R145" s="114"/>
      <c r="S145" s="114"/>
      <c r="T145"/>
      <c r="U145" s="114"/>
      <c r="V145" s="114"/>
      <c r="W145"/>
      <c r="X145" s="114"/>
      <c r="Y145" s="114"/>
    </row>
    <row r="146" spans="2:25">
      <c r="B146" s="89" t="s">
        <v>122</v>
      </c>
      <c r="C146" s="99" t="s">
        <v>123</v>
      </c>
      <c r="D146" s="110"/>
      <c r="E146" s="110"/>
      <c r="F146" s="110"/>
      <c r="G146" s="112"/>
      <c r="H146" s="112"/>
      <c r="I146" s="112"/>
      <c r="J146" s="112"/>
      <c r="K146" s="110"/>
      <c r="L146" s="110"/>
      <c r="M146" s="110"/>
      <c r="N146" s="110"/>
      <c r="O146" s="110"/>
      <c r="P146" s="110"/>
      <c r="Q146" s="110"/>
      <c r="R146" s="110"/>
      <c r="S146" s="110"/>
      <c r="T146"/>
      <c r="U146" s="110"/>
      <c r="V146" s="110"/>
      <c r="W146"/>
      <c r="X146" s="110"/>
      <c r="Y146" s="110"/>
    </row>
    <row r="147" spans="2:25">
      <c r="B147" s="86" t="s">
        <v>278</v>
      </c>
      <c r="C147" s="87" t="s">
        <v>279</v>
      </c>
      <c r="D147" s="134"/>
      <c r="E147" s="134"/>
      <c r="F147" s="134"/>
      <c r="G147" s="134"/>
      <c r="H147" s="112">
        <f t="shared" ref="H147:J152" si="134">G147</f>
        <v>0</v>
      </c>
      <c r="I147" s="112">
        <f t="shared" si="134"/>
        <v>0</v>
      </c>
      <c r="J147" s="112">
        <f t="shared" si="134"/>
        <v>0</v>
      </c>
      <c r="K147" s="112"/>
      <c r="L147" s="117"/>
      <c r="M147" s="117"/>
      <c r="N147" s="117"/>
      <c r="O147" s="117"/>
      <c r="P147" s="117"/>
      <c r="Q147" s="117"/>
      <c r="R147" s="117"/>
      <c r="S147" s="117"/>
      <c r="T147"/>
      <c r="U147" s="117"/>
      <c r="V147" s="117"/>
      <c r="W147"/>
      <c r="X147" s="117"/>
      <c r="Y147" s="117"/>
    </row>
    <row r="148" spans="2:25">
      <c r="B148" s="86" t="s">
        <v>280</v>
      </c>
      <c r="C148" s="87" t="s">
        <v>281</v>
      </c>
      <c r="D148" s="134"/>
      <c r="E148" s="134"/>
      <c r="F148" s="134"/>
      <c r="G148" s="134"/>
      <c r="H148" s="112">
        <f t="shared" si="134"/>
        <v>0</v>
      </c>
      <c r="I148" s="112">
        <f t="shared" si="134"/>
        <v>0</v>
      </c>
      <c r="J148" s="112">
        <f t="shared" si="134"/>
        <v>0</v>
      </c>
      <c r="K148" s="112"/>
      <c r="L148" s="117"/>
      <c r="M148" s="117"/>
      <c r="N148" s="117"/>
      <c r="O148" s="117"/>
      <c r="P148" s="117"/>
      <c r="Q148" s="117"/>
      <c r="R148" s="117"/>
      <c r="S148" s="117"/>
      <c r="T148"/>
      <c r="U148" s="117"/>
      <c r="V148" s="117"/>
      <c r="W148"/>
      <c r="X148" s="117"/>
      <c r="Y148" s="117"/>
    </row>
    <row r="149" spans="2:25">
      <c r="B149" s="86" t="s">
        <v>124</v>
      </c>
      <c r="C149" s="87" t="s">
        <v>282</v>
      </c>
      <c r="D149" s="134"/>
      <c r="E149" s="134"/>
      <c r="F149" s="134"/>
      <c r="G149" s="134"/>
      <c r="H149" s="112">
        <f t="shared" si="134"/>
        <v>0</v>
      </c>
      <c r="I149" s="112">
        <f t="shared" si="134"/>
        <v>0</v>
      </c>
      <c r="J149" s="112">
        <f t="shared" si="134"/>
        <v>0</v>
      </c>
      <c r="K149" s="112"/>
      <c r="L149" s="117"/>
      <c r="M149" s="117"/>
      <c r="N149" s="117"/>
      <c r="O149" s="117"/>
      <c r="P149" s="117"/>
      <c r="Q149" s="117"/>
      <c r="R149" s="117"/>
      <c r="S149" s="117"/>
      <c r="T149"/>
      <c r="U149" s="117"/>
      <c r="V149" s="117"/>
      <c r="W149"/>
      <c r="X149" s="117"/>
      <c r="Y149" s="117"/>
    </row>
    <row r="150" spans="2:25">
      <c r="B150" s="86" t="s">
        <v>283</v>
      </c>
      <c r="C150" s="87" t="s">
        <v>284</v>
      </c>
      <c r="D150" s="134"/>
      <c r="E150" s="134"/>
      <c r="F150" s="134"/>
      <c r="G150" s="134"/>
      <c r="H150" s="112">
        <f t="shared" si="134"/>
        <v>0</v>
      </c>
      <c r="I150" s="112">
        <f t="shared" si="134"/>
        <v>0</v>
      </c>
      <c r="J150" s="112">
        <f t="shared" si="134"/>
        <v>0</v>
      </c>
      <c r="K150" s="112"/>
      <c r="L150" s="117"/>
      <c r="M150" s="117"/>
      <c r="N150" s="117"/>
      <c r="O150" s="117"/>
      <c r="P150" s="117"/>
      <c r="Q150" s="117"/>
      <c r="R150" s="117"/>
      <c r="S150" s="117"/>
      <c r="T150"/>
      <c r="U150" s="117"/>
      <c r="V150" s="117"/>
      <c r="W150"/>
      <c r="X150" s="117"/>
      <c r="Y150" s="117"/>
    </row>
    <row r="151" spans="2:25">
      <c r="B151" s="86" t="s">
        <v>285</v>
      </c>
      <c r="C151" s="87" t="s">
        <v>286</v>
      </c>
      <c r="D151" s="134"/>
      <c r="E151" s="134"/>
      <c r="F151" s="134"/>
      <c r="G151" s="134"/>
      <c r="H151" s="112">
        <f t="shared" si="134"/>
        <v>0</v>
      </c>
      <c r="I151" s="112">
        <f t="shared" si="134"/>
        <v>0</v>
      </c>
      <c r="J151" s="112">
        <f t="shared" si="134"/>
        <v>0</v>
      </c>
      <c r="K151" s="112"/>
      <c r="L151" s="117"/>
      <c r="M151" s="117"/>
      <c r="N151" s="117"/>
      <c r="O151" s="117"/>
      <c r="P151" s="117"/>
      <c r="Q151" s="117"/>
      <c r="R151" s="117"/>
      <c r="S151" s="117"/>
      <c r="T151"/>
      <c r="U151" s="117"/>
      <c r="V151" s="117"/>
      <c r="W151"/>
      <c r="X151" s="117"/>
      <c r="Y151" s="117"/>
    </row>
    <row r="152" spans="2:25">
      <c r="B152" s="86" t="s">
        <v>125</v>
      </c>
      <c r="C152" s="87" t="s">
        <v>287</v>
      </c>
      <c r="D152" s="134"/>
      <c r="E152" s="134"/>
      <c r="F152" s="134"/>
      <c r="G152" s="134"/>
      <c r="H152" s="112">
        <f t="shared" si="134"/>
        <v>0</v>
      </c>
      <c r="I152" s="112">
        <f t="shared" si="134"/>
        <v>0</v>
      </c>
      <c r="J152" s="112">
        <f t="shared" si="134"/>
        <v>0</v>
      </c>
      <c r="K152" s="112"/>
      <c r="L152" s="117"/>
      <c r="M152" s="117"/>
      <c r="N152" s="117"/>
      <c r="O152" s="117"/>
      <c r="P152" s="117"/>
      <c r="Q152" s="117"/>
      <c r="R152" s="117"/>
      <c r="S152" s="117"/>
      <c r="T152"/>
      <c r="U152" s="117"/>
      <c r="V152" s="117"/>
      <c r="W152"/>
      <c r="X152" s="117"/>
      <c r="Y152" s="117"/>
    </row>
    <row r="153" spans="2:25">
      <c r="B153" s="89" t="s">
        <v>126</v>
      </c>
      <c r="C153" s="99" t="s">
        <v>127</v>
      </c>
      <c r="D153" s="113">
        <f>SUM(D147:D152)</f>
        <v>0</v>
      </c>
      <c r="E153" s="113">
        <f>SUM(E147:E152)</f>
        <v>0</v>
      </c>
      <c r="F153" s="113">
        <f>SUM(F147:F152)</f>
        <v>0</v>
      </c>
      <c r="G153" s="113">
        <f t="shared" ref="G153:J153" si="135">SUM(G147:G152)</f>
        <v>0</v>
      </c>
      <c r="H153" s="113">
        <f t="shared" si="135"/>
        <v>0</v>
      </c>
      <c r="I153" s="113">
        <f t="shared" si="135"/>
        <v>0</v>
      </c>
      <c r="J153" s="113">
        <f t="shared" si="135"/>
        <v>0</v>
      </c>
      <c r="K153" s="113"/>
      <c r="L153" s="113"/>
      <c r="M153" s="113"/>
      <c r="N153" s="113"/>
      <c r="O153" s="113"/>
      <c r="P153" s="113"/>
      <c r="Q153" s="113"/>
      <c r="R153" s="113"/>
      <c r="S153" s="113"/>
      <c r="T153"/>
      <c r="U153" s="113"/>
      <c r="V153" s="113"/>
      <c r="W153"/>
      <c r="X153" s="113"/>
      <c r="Y153" s="113"/>
    </row>
    <row r="154" spans="2:25">
      <c r="B154" s="89"/>
      <c r="C154" s="99"/>
      <c r="D154" s="114"/>
      <c r="E154" s="114"/>
      <c r="F154" s="114"/>
      <c r="G154" s="115"/>
      <c r="H154" s="115"/>
      <c r="I154" s="115"/>
      <c r="J154" s="115"/>
      <c r="K154" s="114"/>
      <c r="L154" s="114"/>
      <c r="M154" s="114"/>
      <c r="N154" s="114"/>
      <c r="O154" s="114"/>
      <c r="P154" s="114"/>
      <c r="Q154" s="114"/>
      <c r="R154" s="114"/>
      <c r="S154" s="114"/>
      <c r="T154"/>
      <c r="U154" s="114"/>
      <c r="V154" s="114"/>
      <c r="W154"/>
      <c r="X154" s="114"/>
      <c r="Y154" s="114"/>
    </row>
    <row r="155" spans="2:25">
      <c r="B155" s="89" t="s">
        <v>128</v>
      </c>
      <c r="C155" s="99" t="s">
        <v>129</v>
      </c>
      <c r="D155" s="110"/>
      <c r="E155" s="110"/>
      <c r="F155" s="110"/>
      <c r="G155" s="112"/>
      <c r="H155" s="112"/>
      <c r="I155" s="112"/>
      <c r="J155" s="112"/>
      <c r="K155" s="110"/>
      <c r="L155" s="110"/>
      <c r="M155" s="110"/>
      <c r="N155" s="110"/>
      <c r="O155" s="110"/>
      <c r="P155" s="110"/>
      <c r="Q155" s="110"/>
      <c r="R155" s="110"/>
      <c r="S155" s="110"/>
      <c r="T155"/>
      <c r="U155" s="110"/>
      <c r="V155" s="110"/>
      <c r="W155"/>
      <c r="X155" s="110"/>
      <c r="Y155" s="110"/>
    </row>
    <row r="156" spans="2:25">
      <c r="B156" s="86" t="s">
        <v>130</v>
      </c>
      <c r="C156" s="87" t="s">
        <v>297</v>
      </c>
      <c r="D156" s="134"/>
      <c r="E156" s="134"/>
      <c r="F156" s="134"/>
      <c r="G156" s="134"/>
      <c r="H156" s="112">
        <f t="shared" ref="H156:J160" si="136">G156</f>
        <v>0</v>
      </c>
      <c r="I156" s="112">
        <f t="shared" si="136"/>
        <v>0</v>
      </c>
      <c r="J156" s="112">
        <f t="shared" si="136"/>
        <v>0</v>
      </c>
      <c r="K156" s="116"/>
      <c r="L156" s="117"/>
      <c r="M156" s="117"/>
      <c r="N156" s="117"/>
      <c r="O156" s="117"/>
      <c r="P156" s="117"/>
      <c r="Q156" s="117"/>
      <c r="R156" s="117"/>
      <c r="S156" s="117"/>
      <c r="T156"/>
      <c r="U156" s="117"/>
      <c r="V156" s="117"/>
      <c r="W156"/>
      <c r="X156" s="117"/>
      <c r="Y156" s="117"/>
    </row>
    <row r="157" spans="2:25">
      <c r="B157" s="86" t="s">
        <v>288</v>
      </c>
      <c r="C157" s="87" t="s">
        <v>289</v>
      </c>
      <c r="D157" s="134"/>
      <c r="E157" s="134"/>
      <c r="F157" s="134"/>
      <c r="G157" s="134"/>
      <c r="H157" s="112">
        <f t="shared" si="136"/>
        <v>0</v>
      </c>
      <c r="I157" s="112">
        <f t="shared" si="136"/>
        <v>0</v>
      </c>
      <c r="J157" s="112">
        <f t="shared" si="136"/>
        <v>0</v>
      </c>
      <c r="K157" s="116"/>
      <c r="L157" s="117"/>
      <c r="M157" s="117"/>
      <c r="N157" s="117"/>
      <c r="O157" s="117"/>
      <c r="P157" s="117"/>
      <c r="Q157" s="117"/>
      <c r="R157" s="117"/>
      <c r="S157" s="117"/>
      <c r="T157"/>
      <c r="U157" s="117"/>
      <c r="V157" s="117"/>
      <c r="W157"/>
      <c r="X157" s="117"/>
      <c r="Y157" s="117"/>
    </row>
    <row r="158" spans="2:25">
      <c r="B158" s="86" t="s">
        <v>290</v>
      </c>
      <c r="C158" s="87" t="s">
        <v>291</v>
      </c>
      <c r="D158" s="134"/>
      <c r="E158" s="134"/>
      <c r="F158" s="134"/>
      <c r="G158" s="134"/>
      <c r="H158" s="112">
        <f t="shared" si="136"/>
        <v>0</v>
      </c>
      <c r="I158" s="112">
        <f t="shared" si="136"/>
        <v>0</v>
      </c>
      <c r="J158" s="112">
        <f t="shared" si="136"/>
        <v>0</v>
      </c>
      <c r="K158" s="116"/>
      <c r="L158" s="117"/>
      <c r="M158" s="117"/>
      <c r="N158" s="117"/>
      <c r="O158" s="117"/>
      <c r="P158" s="117"/>
      <c r="Q158" s="117"/>
      <c r="R158" s="117"/>
      <c r="S158" s="117"/>
      <c r="T158"/>
      <c r="U158" s="117"/>
      <c r="V158" s="117"/>
      <c r="W158"/>
      <c r="X158" s="117"/>
      <c r="Y158" s="117"/>
    </row>
    <row r="159" spans="2:25">
      <c r="B159" s="86" t="s">
        <v>292</v>
      </c>
      <c r="C159" s="87" t="s">
        <v>293</v>
      </c>
      <c r="D159" s="134"/>
      <c r="E159" s="134"/>
      <c r="F159" s="134"/>
      <c r="G159" s="134"/>
      <c r="H159" s="112">
        <f t="shared" si="136"/>
        <v>0</v>
      </c>
      <c r="I159" s="112">
        <f t="shared" si="136"/>
        <v>0</v>
      </c>
      <c r="J159" s="112">
        <f t="shared" si="136"/>
        <v>0</v>
      </c>
      <c r="K159" s="116"/>
      <c r="L159" s="117"/>
      <c r="M159" s="117"/>
      <c r="N159" s="117"/>
      <c r="O159" s="117"/>
      <c r="P159" s="117"/>
      <c r="Q159" s="117"/>
      <c r="R159" s="117"/>
      <c r="S159" s="117"/>
      <c r="T159"/>
      <c r="U159" s="117"/>
      <c r="V159" s="117"/>
      <c r="W159"/>
      <c r="X159" s="117"/>
      <c r="Y159" s="117"/>
    </row>
    <row r="160" spans="2:25">
      <c r="B160" s="86" t="s">
        <v>294</v>
      </c>
      <c r="C160" s="87" t="s">
        <v>295</v>
      </c>
      <c r="D160" s="134"/>
      <c r="E160" s="134"/>
      <c r="F160" s="134"/>
      <c r="G160" s="134"/>
      <c r="H160" s="112">
        <f t="shared" si="136"/>
        <v>0</v>
      </c>
      <c r="I160" s="112">
        <f t="shared" si="136"/>
        <v>0</v>
      </c>
      <c r="J160" s="112">
        <f t="shared" si="136"/>
        <v>0</v>
      </c>
      <c r="K160" s="116"/>
      <c r="L160" s="117"/>
      <c r="M160" s="117"/>
      <c r="N160" s="117"/>
      <c r="O160" s="117"/>
      <c r="P160" s="117"/>
      <c r="Q160" s="117"/>
      <c r="R160" s="117"/>
      <c r="S160" s="117"/>
      <c r="T160"/>
      <c r="U160" s="117"/>
      <c r="V160" s="117"/>
      <c r="W160"/>
      <c r="X160" s="117"/>
      <c r="Y160" s="117"/>
    </row>
    <row r="161" spans="2:25">
      <c r="B161" s="86" t="s">
        <v>131</v>
      </c>
      <c r="C161" s="87" t="s">
        <v>296</v>
      </c>
      <c r="D161" s="134"/>
      <c r="E161" s="134"/>
      <c r="F161" s="134"/>
      <c r="G161" s="134"/>
      <c r="H161" s="110" t="e">
        <f>G161+H37+H91</f>
        <v>#DIV/0!</v>
      </c>
      <c r="I161" s="110" t="e">
        <f>H161+I37+I91</f>
        <v>#DIV/0!</v>
      </c>
      <c r="J161" s="110" t="e">
        <f>I161+J37+J91</f>
        <v>#DIV/0!</v>
      </c>
      <c r="K161" s="110"/>
      <c r="L161" s="117"/>
      <c r="M161" s="117"/>
      <c r="N161" s="117"/>
      <c r="O161" s="117"/>
      <c r="P161" s="117"/>
      <c r="Q161" s="117"/>
      <c r="R161" s="117"/>
      <c r="S161" s="117"/>
      <c r="T161"/>
      <c r="U161" s="117"/>
      <c r="V161" s="117"/>
      <c r="W161"/>
      <c r="X161" s="117"/>
      <c r="Y161" s="117"/>
    </row>
    <row r="162" spans="2:25" ht="15" customHeight="1">
      <c r="B162" s="98" t="s">
        <v>132</v>
      </c>
      <c r="C162" s="118" t="s">
        <v>133</v>
      </c>
      <c r="D162" s="113">
        <f t="shared" ref="D162:J162" si="137">SUM(D156:D161)</f>
        <v>0</v>
      </c>
      <c r="E162" s="113">
        <f t="shared" si="137"/>
        <v>0</v>
      </c>
      <c r="F162" s="113">
        <f t="shared" si="137"/>
        <v>0</v>
      </c>
      <c r="G162" s="113">
        <f t="shared" si="137"/>
        <v>0</v>
      </c>
      <c r="H162" s="113" t="e">
        <f t="shared" si="137"/>
        <v>#DIV/0!</v>
      </c>
      <c r="I162" s="113" t="e">
        <f t="shared" si="137"/>
        <v>#DIV/0!</v>
      </c>
      <c r="J162" s="113" t="e">
        <f t="shared" si="137"/>
        <v>#DIV/0!</v>
      </c>
      <c r="K162" s="113"/>
      <c r="L162" s="113"/>
      <c r="M162" s="113"/>
      <c r="N162" s="113"/>
      <c r="O162" s="113"/>
      <c r="P162" s="113"/>
      <c r="Q162" s="113"/>
      <c r="R162" s="113"/>
      <c r="S162" s="113"/>
      <c r="T162"/>
      <c r="U162" s="113"/>
      <c r="V162" s="113"/>
      <c r="W162"/>
      <c r="X162" s="113"/>
      <c r="Y162" s="113"/>
    </row>
    <row r="163" spans="2:25">
      <c r="B163" s="86" t="s">
        <v>31</v>
      </c>
      <c r="C163" s="87" t="s">
        <v>32</v>
      </c>
      <c r="D163" s="134"/>
      <c r="E163" s="134"/>
      <c r="F163" s="134"/>
      <c r="G163" s="134"/>
      <c r="H163" s="116" t="e">
        <f>G163+H40+H92</f>
        <v>#DIV/0!</v>
      </c>
      <c r="I163" s="116" t="e">
        <f>H163+I40+I92</f>
        <v>#DIV/0!</v>
      </c>
      <c r="J163" s="116" t="e">
        <f>I163+J40+J92</f>
        <v>#DIV/0!</v>
      </c>
      <c r="K163" s="116"/>
      <c r="L163" s="117"/>
      <c r="M163" s="117"/>
      <c r="N163" s="117"/>
      <c r="O163" s="117"/>
      <c r="P163" s="117"/>
      <c r="Q163" s="117"/>
      <c r="R163" s="117"/>
      <c r="S163" s="117"/>
      <c r="T163"/>
      <c r="U163" s="117"/>
      <c r="V163" s="117"/>
      <c r="W163"/>
      <c r="X163" s="117"/>
      <c r="Y163" s="117"/>
    </row>
    <row r="164" spans="2:25">
      <c r="B164" s="89" t="s">
        <v>134</v>
      </c>
      <c r="C164" s="99" t="s">
        <v>135</v>
      </c>
      <c r="D164" s="119">
        <f>SUM(D162:D163)</f>
        <v>0</v>
      </c>
      <c r="E164" s="119">
        <f>SUM(E162:E163)</f>
        <v>0</v>
      </c>
      <c r="F164" s="119">
        <f>SUM(F162:F163)</f>
        <v>0</v>
      </c>
      <c r="G164" s="119">
        <f t="shared" ref="G164:J164" si="138">SUM(G162:G163)</f>
        <v>0</v>
      </c>
      <c r="H164" s="119" t="e">
        <f t="shared" si="138"/>
        <v>#DIV/0!</v>
      </c>
      <c r="I164" s="119" t="e">
        <f t="shared" si="138"/>
        <v>#DIV/0!</v>
      </c>
      <c r="J164" s="119" t="e">
        <f t="shared" si="138"/>
        <v>#DIV/0!</v>
      </c>
      <c r="K164" s="119"/>
      <c r="L164" s="119"/>
      <c r="M164" s="119"/>
      <c r="N164" s="119"/>
      <c r="O164" s="119"/>
      <c r="P164" s="119"/>
      <c r="Q164" s="119"/>
      <c r="R164" s="119"/>
      <c r="S164" s="119"/>
      <c r="T164"/>
      <c r="U164" s="119"/>
      <c r="V164" s="119"/>
      <c r="W164"/>
      <c r="X164" s="119"/>
      <c r="Y164" s="119"/>
    </row>
    <row r="165" spans="2:25">
      <c r="B165" s="84"/>
      <c r="C165" s="120"/>
      <c r="D165" s="84"/>
      <c r="E165" s="84"/>
      <c r="N165" s="33"/>
      <c r="O165" s="33"/>
      <c r="P165" s="33"/>
      <c r="Q165" s="33"/>
      <c r="R165" s="33"/>
      <c r="S165" s="33"/>
      <c r="T165"/>
      <c r="U165" s="33"/>
      <c r="V165" s="33"/>
      <c r="W165"/>
      <c r="X165" s="33"/>
      <c r="Y165" s="33"/>
    </row>
    <row r="166" spans="2:25" s="124" customFormat="1" ht="14.5">
      <c r="B166" s="121" t="s">
        <v>136</v>
      </c>
      <c r="C166" s="122"/>
      <c r="D166" s="123">
        <f t="shared" ref="D166:J166" si="139">D116+D131-D144-D153-D164</f>
        <v>0</v>
      </c>
      <c r="E166" s="123">
        <f t="shared" si="139"/>
        <v>0</v>
      </c>
      <c r="F166" s="123">
        <f t="shared" si="139"/>
        <v>0</v>
      </c>
      <c r="G166" s="123">
        <f t="shared" si="139"/>
        <v>0</v>
      </c>
      <c r="H166" s="123" t="e">
        <f t="shared" si="139"/>
        <v>#DIV/0!</v>
      </c>
      <c r="I166" s="123" t="e">
        <f t="shared" si="139"/>
        <v>#DIV/0!</v>
      </c>
      <c r="J166" s="123" t="e">
        <f t="shared" si="139"/>
        <v>#DIV/0!</v>
      </c>
      <c r="K166" s="123"/>
      <c r="L166" s="123"/>
      <c r="M166" s="123"/>
      <c r="N166" s="123"/>
      <c r="O166" s="123"/>
      <c r="P166" s="123"/>
      <c r="Q166" s="123"/>
      <c r="R166" s="123"/>
      <c r="S166" s="123"/>
      <c r="T166"/>
      <c r="U166" s="123"/>
      <c r="V166" s="123"/>
      <c r="W166"/>
      <c r="X166" s="123"/>
      <c r="Y166" s="123"/>
    </row>
    <row r="167" spans="2:25" s="124" customFormat="1">
      <c r="B167" s="121"/>
      <c r="C167" s="173" t="s">
        <v>180</v>
      </c>
      <c r="D167" s="174" t="e">
        <f t="shared" ref="D167:J167" si="140">(D153+D144)/(D116+D131)</f>
        <v>#DIV/0!</v>
      </c>
      <c r="E167" s="174" t="e">
        <f t="shared" si="140"/>
        <v>#DIV/0!</v>
      </c>
      <c r="F167" s="174" t="e">
        <f t="shared" si="140"/>
        <v>#DIV/0!</v>
      </c>
      <c r="G167" s="174" t="e">
        <f t="shared" si="140"/>
        <v>#DIV/0!</v>
      </c>
      <c r="H167" s="174" t="e">
        <f t="shared" si="140"/>
        <v>#DIV/0!</v>
      </c>
      <c r="I167" s="174" t="e">
        <f t="shared" si="140"/>
        <v>#DIV/0!</v>
      </c>
      <c r="J167" s="174" t="e">
        <f t="shared" si="140"/>
        <v>#DIV/0!</v>
      </c>
      <c r="K167" s="175"/>
      <c r="L167" s="123"/>
      <c r="M167" s="123"/>
      <c r="N167" s="123"/>
      <c r="O167" s="123"/>
      <c r="P167" s="123"/>
      <c r="Q167" s="123"/>
      <c r="R167" s="123"/>
      <c r="S167" s="123"/>
      <c r="T167"/>
      <c r="U167" s="123"/>
      <c r="V167" s="123"/>
      <c r="W167"/>
      <c r="X167" s="123"/>
      <c r="Y167" s="123"/>
    </row>
    <row r="168" spans="2:25">
      <c r="N168" s="33"/>
      <c r="O168" s="33"/>
      <c r="P168" s="33"/>
      <c r="Q168" s="33"/>
      <c r="R168" s="33"/>
      <c r="S168" s="33"/>
      <c r="T168"/>
      <c r="U168" s="33"/>
      <c r="V168" s="33"/>
      <c r="W168"/>
      <c r="X168" s="33"/>
      <c r="Y168" s="33"/>
    </row>
    <row r="169" spans="2:25" ht="17">
      <c r="B169" s="9" t="s">
        <v>137</v>
      </c>
      <c r="C169" s="7"/>
      <c r="D169" s="11"/>
      <c r="E169" s="11"/>
      <c r="F169" s="11"/>
      <c r="G169" s="6"/>
      <c r="H169" s="6"/>
      <c r="I169" s="6"/>
      <c r="J169" s="6"/>
      <c r="K169" s="6"/>
      <c r="L169" s="11"/>
      <c r="M169" s="11"/>
      <c r="N169" s="11"/>
      <c r="O169" s="11"/>
      <c r="P169" s="11"/>
      <c r="Q169" s="11"/>
      <c r="R169" s="11"/>
      <c r="S169" s="11"/>
      <c r="T169"/>
      <c r="U169" s="11"/>
      <c r="V169" s="11"/>
      <c r="W169"/>
      <c r="X169" s="11"/>
      <c r="Y169" s="11"/>
    </row>
    <row r="170" spans="2:25">
      <c r="B170" s="125"/>
      <c r="C170" s="126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/>
      <c r="U170" s="125"/>
      <c r="V170" s="125"/>
      <c r="W170"/>
      <c r="X170" s="125"/>
      <c r="Y170" s="125"/>
    </row>
    <row r="171" spans="2:25">
      <c r="B171" s="25" t="s">
        <v>138</v>
      </c>
      <c r="C171" s="26" t="s">
        <v>139</v>
      </c>
      <c r="D171" s="78"/>
      <c r="E171" s="78"/>
      <c r="F171" s="78"/>
      <c r="N171" s="33"/>
      <c r="O171" s="33"/>
      <c r="P171" s="33"/>
      <c r="Q171" s="33"/>
      <c r="R171" s="33"/>
      <c r="S171" s="33"/>
      <c r="T171"/>
      <c r="U171" s="33"/>
      <c r="V171" s="33"/>
      <c r="W171"/>
      <c r="X171" s="33"/>
      <c r="Y171" s="33"/>
    </row>
    <row r="172" spans="2:25">
      <c r="B172" s="86" t="s">
        <v>168</v>
      </c>
      <c r="C172" s="87" t="s">
        <v>316</v>
      </c>
      <c r="D172" s="78">
        <f>D121+D120+D122</f>
        <v>0</v>
      </c>
      <c r="E172" s="78">
        <f>E121+E120+E122</f>
        <v>0</v>
      </c>
      <c r="F172" s="78">
        <f>F121+F120+F122</f>
        <v>0</v>
      </c>
      <c r="G172" s="78">
        <f>G121+G120+G122</f>
        <v>0</v>
      </c>
      <c r="H172" s="78" t="e">
        <f>H4/(365/H173)</f>
        <v>#DIV/0!</v>
      </c>
      <c r="I172" s="78" t="e">
        <f>I4/(365/I173)</f>
        <v>#DIV/0!</v>
      </c>
      <c r="J172" s="78" t="e">
        <f>J4/(365/J173)</f>
        <v>#DIV/0!</v>
      </c>
      <c r="N172" s="33"/>
      <c r="O172" s="33"/>
      <c r="P172" s="33"/>
      <c r="Q172" s="33"/>
      <c r="R172" s="33"/>
      <c r="S172" s="33"/>
      <c r="T172"/>
      <c r="U172" s="33"/>
      <c r="V172" s="33"/>
      <c r="W172"/>
      <c r="X172" s="33"/>
      <c r="Y172" s="33"/>
    </row>
    <row r="173" spans="2:25">
      <c r="B173" s="29" t="s">
        <v>140</v>
      </c>
      <c r="C173" s="30" t="s">
        <v>317</v>
      </c>
      <c r="D173" s="127" t="e">
        <f>365/(D4/D172)</f>
        <v>#DIV/0!</v>
      </c>
      <c r="E173" s="127" t="e">
        <f>365/(E4/E172)</f>
        <v>#DIV/0!</v>
      </c>
      <c r="F173" s="127" t="e">
        <f>365/(F4/F172)</f>
        <v>#DIV/0!</v>
      </c>
      <c r="G173" s="127" t="e">
        <f>365/(G4/G172)</f>
        <v>#DIV/0!</v>
      </c>
      <c r="H173" s="104" t="e">
        <f>G173</f>
        <v>#DIV/0!</v>
      </c>
      <c r="I173" s="104" t="e">
        <f>H173</f>
        <v>#DIV/0!</v>
      </c>
      <c r="J173" s="104" t="e">
        <f>I173</f>
        <v>#DIV/0!</v>
      </c>
      <c r="N173" s="33"/>
      <c r="O173" s="33"/>
      <c r="P173" s="33"/>
      <c r="Q173" s="33"/>
      <c r="R173" s="33"/>
      <c r="S173" s="33"/>
      <c r="T173"/>
      <c r="U173" s="33"/>
      <c r="V173" s="33"/>
      <c r="W173"/>
      <c r="X173" s="33"/>
      <c r="Y173" s="33"/>
    </row>
    <row r="174" spans="2:25">
      <c r="B174" s="86" t="s">
        <v>169</v>
      </c>
      <c r="C174" s="87" t="s">
        <v>318</v>
      </c>
      <c r="D174" s="78">
        <f>D123+D124+D125+D127</f>
        <v>0</v>
      </c>
      <c r="E174" s="78">
        <f>E123+E124+E125+E127</f>
        <v>0</v>
      </c>
      <c r="F174" s="78">
        <f>F123+F124+F125+F127</f>
        <v>0</v>
      </c>
      <c r="G174" s="78">
        <f>G123+G124+G125+G127</f>
        <v>0</v>
      </c>
      <c r="H174" s="38">
        <f>H175*H4</f>
        <v>0</v>
      </c>
      <c r="I174" s="38">
        <f>I175*I4</f>
        <v>0</v>
      </c>
      <c r="J174" s="38">
        <f>J175*J4</f>
        <v>0</v>
      </c>
      <c r="N174" s="33"/>
      <c r="O174" s="33"/>
      <c r="P174" s="33"/>
      <c r="Q174" s="33"/>
      <c r="R174" s="33"/>
      <c r="S174" s="33"/>
      <c r="T174"/>
      <c r="U174" s="33"/>
      <c r="V174" s="33"/>
      <c r="W174"/>
      <c r="X174" s="33"/>
      <c r="Y174" s="33"/>
    </row>
    <row r="175" spans="2:25">
      <c r="B175" s="29" t="s">
        <v>14</v>
      </c>
      <c r="C175" s="30" t="s">
        <v>319</v>
      </c>
      <c r="D175" s="164" t="e">
        <f>D174/D4</f>
        <v>#DIV/0!</v>
      </c>
      <c r="E175" s="164" t="e">
        <f>E174/E4</f>
        <v>#DIV/0!</v>
      </c>
      <c r="F175" s="164" t="e">
        <f>F174/F4</f>
        <v>#DIV/0!</v>
      </c>
      <c r="G175" s="164" t="e">
        <f>G174/G4</f>
        <v>#DIV/0!</v>
      </c>
      <c r="H175" s="165"/>
      <c r="I175" s="165"/>
      <c r="J175" s="165"/>
      <c r="N175" s="33"/>
      <c r="O175" s="33"/>
      <c r="P175" s="33"/>
      <c r="Q175" s="33"/>
      <c r="R175" s="33"/>
      <c r="S175" s="33"/>
      <c r="T175"/>
      <c r="U175" s="33"/>
      <c r="V175" s="33"/>
      <c r="W175"/>
      <c r="X175" s="33"/>
      <c r="Y175" s="33"/>
    </row>
    <row r="176" spans="2:25">
      <c r="B176" s="86" t="s">
        <v>114</v>
      </c>
      <c r="C176" s="87" t="s">
        <v>228</v>
      </c>
      <c r="D176" s="28">
        <f>D119</f>
        <v>0</v>
      </c>
      <c r="E176" s="28">
        <f>E119</f>
        <v>0</v>
      </c>
      <c r="F176" s="28">
        <f>F119</f>
        <v>0</v>
      </c>
      <c r="G176" s="28">
        <f>G119</f>
        <v>0</v>
      </c>
      <c r="H176" s="78" t="e">
        <f>-H6/(365/H177)</f>
        <v>#DIV/0!</v>
      </c>
      <c r="I176" s="78" t="e">
        <f>-I6/(365/I177)</f>
        <v>#DIV/0!</v>
      </c>
      <c r="J176" s="78" t="e">
        <f>-J6/(365/J177)</f>
        <v>#DIV/0!</v>
      </c>
      <c r="N176" s="33"/>
      <c r="O176" s="33"/>
      <c r="P176" s="33"/>
      <c r="Q176" s="33"/>
      <c r="R176" s="33"/>
      <c r="S176" s="33"/>
      <c r="T176"/>
      <c r="U176" s="33"/>
      <c r="V176" s="33"/>
      <c r="W176"/>
      <c r="X176" s="33"/>
      <c r="Y176" s="33"/>
    </row>
    <row r="177" spans="2:25">
      <c r="B177" s="29" t="s">
        <v>141</v>
      </c>
      <c r="C177" s="30" t="s">
        <v>320</v>
      </c>
      <c r="D177" s="127" t="e">
        <f>-365/(D6/D176)</f>
        <v>#DIV/0!</v>
      </c>
      <c r="E177" s="127" t="e">
        <f>-365/(E6/E176)</f>
        <v>#DIV/0!</v>
      </c>
      <c r="F177" s="127" t="e">
        <f>-365/(F6/F176)</f>
        <v>#DIV/0!</v>
      </c>
      <c r="G177" s="127" t="e">
        <f>-365/(G6/G176)</f>
        <v>#DIV/0!</v>
      </c>
      <c r="H177" s="104"/>
      <c r="I177" s="104"/>
      <c r="J177" s="104"/>
      <c r="N177" s="33"/>
      <c r="O177" s="33"/>
      <c r="P177" s="33"/>
      <c r="Q177" s="33"/>
      <c r="R177" s="33"/>
      <c r="S177" s="33"/>
      <c r="T177"/>
      <c r="U177" s="33"/>
      <c r="V177" s="33"/>
      <c r="W177"/>
      <c r="X177" s="33"/>
      <c r="Y177" s="33"/>
    </row>
    <row r="178" spans="2:25">
      <c r="B178" s="86" t="s">
        <v>171</v>
      </c>
      <c r="C178" s="87" t="s">
        <v>321</v>
      </c>
      <c r="D178" s="28">
        <f>D136+D135</f>
        <v>0</v>
      </c>
      <c r="E178" s="28">
        <f>E136+E135</f>
        <v>0</v>
      </c>
      <c r="F178" s="28">
        <f>F136+F135</f>
        <v>0</v>
      </c>
      <c r="G178" s="28">
        <f>G136+G135</f>
        <v>0</v>
      </c>
      <c r="H178" s="78" t="e">
        <f>-H6/(365/H179)</f>
        <v>#DIV/0!</v>
      </c>
      <c r="I178" s="78" t="e">
        <f>-I6/(365/I179)</f>
        <v>#DIV/0!</v>
      </c>
      <c r="J178" s="78" t="e">
        <f>-J6/(365/J179)</f>
        <v>#DIV/0!</v>
      </c>
      <c r="N178" s="33"/>
      <c r="O178" s="33"/>
      <c r="P178" s="33"/>
      <c r="Q178" s="33"/>
      <c r="R178" s="33"/>
      <c r="S178" s="33"/>
      <c r="T178"/>
      <c r="U178" s="33"/>
      <c r="V178" s="33"/>
      <c r="W178"/>
      <c r="X178" s="33"/>
      <c r="Y178" s="33"/>
    </row>
    <row r="179" spans="2:25">
      <c r="B179" s="29" t="s">
        <v>142</v>
      </c>
      <c r="C179" s="30" t="s">
        <v>322</v>
      </c>
      <c r="D179" s="127" t="e">
        <f>-365/(D6/D178)</f>
        <v>#DIV/0!</v>
      </c>
      <c r="E179" s="127" t="e">
        <f>-365/(E6/E178)</f>
        <v>#DIV/0!</v>
      </c>
      <c r="F179" s="127" t="e">
        <f>-365/(F6/F178)</f>
        <v>#DIV/0!</v>
      </c>
      <c r="G179" s="127" t="e">
        <f>-365/(G6/G178)</f>
        <v>#DIV/0!</v>
      </c>
      <c r="H179" s="104" t="e">
        <f>G179</f>
        <v>#DIV/0!</v>
      </c>
      <c r="I179" s="104" t="e">
        <f>H179</f>
        <v>#DIV/0!</v>
      </c>
      <c r="J179" s="104" t="e">
        <f>I179</f>
        <v>#DIV/0!</v>
      </c>
      <c r="N179" s="33"/>
      <c r="O179" s="33"/>
      <c r="P179" s="33"/>
      <c r="Q179" s="33"/>
      <c r="R179" s="33"/>
      <c r="S179" s="33"/>
      <c r="T179"/>
      <c r="U179" s="33"/>
      <c r="V179" s="33"/>
      <c r="W179"/>
      <c r="X179" s="33"/>
      <c r="Y179" s="33"/>
    </row>
    <row r="180" spans="2:25">
      <c r="B180" s="86" t="s">
        <v>172</v>
      </c>
      <c r="C180" s="87" t="s">
        <v>323</v>
      </c>
      <c r="D180" s="28">
        <f>D137+D138+D139+D140</f>
        <v>0</v>
      </c>
      <c r="E180" s="28">
        <f>E137+E138+E139+E140</f>
        <v>0</v>
      </c>
      <c r="F180" s="28">
        <f>F137+F138+F139+F140</f>
        <v>0</v>
      </c>
      <c r="G180" s="28">
        <f>G137+G138+G139+G140</f>
        <v>0</v>
      </c>
      <c r="H180" s="38" t="e">
        <f>H181*H4</f>
        <v>#DIV/0!</v>
      </c>
      <c r="I180" s="38" t="e">
        <f>I181*I4</f>
        <v>#DIV/0!</v>
      </c>
      <c r="J180" s="38" t="e">
        <f>J181*J4</f>
        <v>#DIV/0!</v>
      </c>
      <c r="N180" s="33"/>
      <c r="O180" s="33"/>
      <c r="P180" s="33"/>
      <c r="Q180" s="33"/>
      <c r="R180" s="33"/>
      <c r="S180" s="33"/>
      <c r="T180"/>
      <c r="U180" s="33"/>
      <c r="V180" s="33"/>
      <c r="W180"/>
      <c r="X180" s="33"/>
      <c r="Y180" s="33"/>
    </row>
    <row r="181" spans="2:25">
      <c r="B181" s="29" t="s">
        <v>14</v>
      </c>
      <c r="C181" s="30" t="s">
        <v>319</v>
      </c>
      <c r="D181" s="164" t="e">
        <f>D180/D4</f>
        <v>#DIV/0!</v>
      </c>
      <c r="E181" s="164" t="e">
        <f>E180/E4</f>
        <v>#DIV/0!</v>
      </c>
      <c r="F181" s="164" t="e">
        <f>F180/F4</f>
        <v>#DIV/0!</v>
      </c>
      <c r="G181" s="164" t="e">
        <f>G180/G4</f>
        <v>#DIV/0!</v>
      </c>
      <c r="H181" s="165" t="e">
        <f>G181</f>
        <v>#DIV/0!</v>
      </c>
      <c r="I181" s="165" t="e">
        <f>H181</f>
        <v>#DIV/0!</v>
      </c>
      <c r="J181" s="165" t="e">
        <f>I181</f>
        <v>#DIV/0!</v>
      </c>
      <c r="N181" s="33"/>
      <c r="O181" s="33"/>
      <c r="P181" s="33"/>
      <c r="Q181" s="33"/>
      <c r="R181" s="33"/>
      <c r="S181" s="33"/>
      <c r="T181"/>
      <c r="U181" s="33"/>
      <c r="V181" s="33"/>
      <c r="W181"/>
      <c r="X181" s="33"/>
      <c r="Y181" s="33"/>
    </row>
    <row r="182" spans="2:25">
      <c r="N182" s="33"/>
      <c r="O182" s="33"/>
      <c r="P182" s="33"/>
      <c r="Q182" s="33"/>
      <c r="R182" s="33"/>
      <c r="S182" s="33"/>
      <c r="T182"/>
      <c r="U182" s="33"/>
      <c r="V182" s="33"/>
      <c r="W182"/>
      <c r="X182" s="33"/>
      <c r="Y182" s="33"/>
    </row>
    <row r="183" spans="2:25">
      <c r="B183" s="144" t="s">
        <v>143</v>
      </c>
      <c r="C183" s="145" t="s">
        <v>324</v>
      </c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/>
      <c r="U183" s="146"/>
      <c r="V183" s="146"/>
      <c r="W183"/>
      <c r="X183" s="146"/>
      <c r="Y183" s="146"/>
    </row>
    <row r="184" spans="2:25" s="15" customFormat="1">
      <c r="B184" s="147" t="s">
        <v>146</v>
      </c>
      <c r="C184" s="148" t="s">
        <v>325</v>
      </c>
      <c r="D184" s="149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/>
      <c r="U184" s="150"/>
      <c r="V184" s="150"/>
      <c r="W184"/>
      <c r="X184" s="150"/>
      <c r="Y184" s="150"/>
    </row>
    <row r="185" spans="2:25">
      <c r="B185" s="151" t="s">
        <v>144</v>
      </c>
      <c r="C185" s="152" t="s">
        <v>326</v>
      </c>
      <c r="D185" s="153"/>
      <c r="E185" s="154">
        <f>D192</f>
        <v>0</v>
      </c>
      <c r="F185" s="154">
        <f>E192</f>
        <v>0</v>
      </c>
      <c r="G185" s="154">
        <f t="shared" ref="G185:J185" si="141">F192</f>
        <v>0</v>
      </c>
      <c r="H185" s="154">
        <f>G192</f>
        <v>0</v>
      </c>
      <c r="I185" s="154">
        <f t="shared" si="141"/>
        <v>0</v>
      </c>
      <c r="J185" s="154">
        <f t="shared" si="141"/>
        <v>0</v>
      </c>
      <c r="K185" s="155"/>
      <c r="L185" s="155"/>
      <c r="M185" s="155"/>
      <c r="N185" s="155"/>
      <c r="O185" s="155"/>
      <c r="P185" s="155"/>
      <c r="Q185" s="155"/>
      <c r="R185" s="155"/>
      <c r="S185" s="155"/>
      <c r="T185"/>
      <c r="U185" s="155"/>
      <c r="V185" s="155"/>
      <c r="W185"/>
      <c r="X185" s="155"/>
      <c r="Y185" s="155"/>
    </row>
    <row r="186" spans="2:25" s="15" customFormat="1">
      <c r="B186" s="156" t="s">
        <v>147</v>
      </c>
      <c r="C186" s="157" t="s">
        <v>327</v>
      </c>
      <c r="D186" s="158">
        <f t="shared" ref="D186:E186" si="142">SUM(D187:D188)</f>
        <v>0</v>
      </c>
      <c r="E186" s="158">
        <f t="shared" si="142"/>
        <v>0</v>
      </c>
      <c r="F186" s="158">
        <f>SUM(F187:F188)</f>
        <v>0</v>
      </c>
      <c r="G186" s="158">
        <f t="shared" ref="G186:J186" si="143">SUM(G187:G188)</f>
        <v>0</v>
      </c>
      <c r="H186" s="158">
        <f t="shared" si="143"/>
        <v>0</v>
      </c>
      <c r="I186" s="158">
        <f t="shared" si="143"/>
        <v>0</v>
      </c>
      <c r="J186" s="158">
        <f t="shared" si="143"/>
        <v>0</v>
      </c>
      <c r="K186" s="158"/>
      <c r="L186" s="158"/>
      <c r="M186" s="158"/>
      <c r="N186" s="158"/>
      <c r="O186" s="158"/>
      <c r="P186" s="158"/>
      <c r="Q186" s="158"/>
      <c r="R186" s="158"/>
      <c r="S186" s="158"/>
      <c r="T186"/>
      <c r="U186" s="158"/>
      <c r="V186" s="158"/>
      <c r="W186"/>
      <c r="X186" s="158"/>
      <c r="Y186" s="158"/>
    </row>
    <row r="187" spans="2:25" s="128" customFormat="1" ht="15.65" customHeight="1">
      <c r="B187" s="159" t="s">
        <v>157</v>
      </c>
      <c r="C187" s="196" t="s">
        <v>328</v>
      </c>
      <c r="D187" s="153"/>
      <c r="E187" s="153"/>
      <c r="F187" s="153"/>
      <c r="G187" s="153"/>
      <c r="H187" s="155">
        <f>G187</f>
        <v>0</v>
      </c>
      <c r="I187" s="155">
        <f>H187</f>
        <v>0</v>
      </c>
      <c r="J187" s="155">
        <f>I187</f>
        <v>0</v>
      </c>
      <c r="K187" s="161"/>
      <c r="L187" s="161"/>
      <c r="M187" s="161"/>
      <c r="N187" s="161"/>
      <c r="O187" s="161"/>
      <c r="P187" s="161"/>
      <c r="Q187" s="161"/>
      <c r="R187" s="161"/>
      <c r="S187" s="161"/>
      <c r="T187"/>
      <c r="U187" s="161"/>
      <c r="V187" s="161"/>
      <c r="W187"/>
      <c r="X187" s="161"/>
      <c r="Y187" s="161"/>
    </row>
    <row r="188" spans="2:25" s="128" customFormat="1" ht="15.65" customHeight="1">
      <c r="B188" s="159" t="s">
        <v>312</v>
      </c>
      <c r="C188" s="196" t="s">
        <v>313</v>
      </c>
      <c r="D188" s="153"/>
      <c r="E188" s="153"/>
      <c r="F188" s="153"/>
      <c r="G188" s="153"/>
      <c r="H188" s="155"/>
      <c r="I188" s="155"/>
      <c r="J188" s="155"/>
      <c r="K188" s="161"/>
      <c r="L188" s="161"/>
      <c r="M188" s="161"/>
      <c r="N188" s="161"/>
      <c r="O188" s="161"/>
      <c r="P188" s="161"/>
      <c r="Q188" s="161"/>
      <c r="R188" s="161"/>
      <c r="S188" s="161"/>
      <c r="T188"/>
      <c r="U188" s="161"/>
      <c r="V188" s="161"/>
      <c r="W188"/>
      <c r="X188" s="161"/>
      <c r="Y188" s="161"/>
    </row>
    <row r="189" spans="2:25" s="15" customFormat="1">
      <c r="B189" s="156" t="s">
        <v>148</v>
      </c>
      <c r="C189" s="157" t="s">
        <v>329</v>
      </c>
      <c r="D189" s="166">
        <f>SUM(D190:D191)</f>
        <v>0</v>
      </c>
      <c r="E189" s="166">
        <f t="shared" ref="E189:F189" si="144">SUM(E190:E191)</f>
        <v>0</v>
      </c>
      <c r="F189" s="166">
        <f t="shared" si="144"/>
        <v>0</v>
      </c>
      <c r="G189" s="166">
        <f t="shared" ref="G189" si="145">SUM(G190:G191)</f>
        <v>0</v>
      </c>
      <c r="H189" s="166">
        <f t="shared" ref="H189" si="146">SUM(H190:H191)</f>
        <v>0</v>
      </c>
      <c r="I189" s="166">
        <f t="shared" ref="I189" si="147">SUM(I190:I191)</f>
        <v>0</v>
      </c>
      <c r="J189" s="166">
        <f t="shared" ref="J189" si="148">SUM(J190:J191)</f>
        <v>0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/>
      <c r="U189" s="158"/>
      <c r="V189" s="158"/>
      <c r="W189"/>
      <c r="X189" s="158"/>
      <c r="Y189" s="158"/>
    </row>
    <row r="190" spans="2:25" s="128" customFormat="1" ht="15.65" customHeight="1">
      <c r="B190" s="159" t="s">
        <v>149</v>
      </c>
      <c r="C190" s="196" t="s">
        <v>330</v>
      </c>
      <c r="D190" s="153"/>
      <c r="E190" s="153"/>
      <c r="F190" s="153"/>
      <c r="G190" s="153"/>
      <c r="H190" s="155"/>
      <c r="I190" s="155"/>
      <c r="J190" s="155"/>
      <c r="K190" s="161"/>
      <c r="L190" s="161"/>
      <c r="M190" s="161"/>
      <c r="N190" s="161"/>
      <c r="O190" s="161"/>
      <c r="P190" s="161"/>
      <c r="Q190" s="161"/>
      <c r="R190" s="161"/>
      <c r="S190" s="161"/>
      <c r="T190"/>
      <c r="U190" s="161"/>
      <c r="V190" s="161"/>
      <c r="W190"/>
      <c r="X190" s="161"/>
      <c r="Y190" s="161"/>
    </row>
    <row r="191" spans="2:25" s="128" customFormat="1" ht="15.65" customHeight="1">
      <c r="B191" s="159" t="s">
        <v>150</v>
      </c>
      <c r="C191" s="196" t="s">
        <v>331</v>
      </c>
      <c r="D191" s="153"/>
      <c r="E191" s="153"/>
      <c r="F191" s="153"/>
      <c r="G191" s="153"/>
      <c r="H191" s="155"/>
      <c r="I191" s="155"/>
      <c r="J191" s="155"/>
      <c r="K191" s="161"/>
      <c r="L191" s="161"/>
      <c r="M191" s="161"/>
      <c r="N191" s="161"/>
      <c r="O191" s="161"/>
      <c r="P191" s="161"/>
      <c r="Q191" s="161"/>
      <c r="R191" s="161"/>
      <c r="S191" s="161"/>
      <c r="T191"/>
      <c r="U191" s="161"/>
      <c r="V191" s="161"/>
      <c r="W191"/>
      <c r="X191" s="161"/>
      <c r="Y191" s="161"/>
    </row>
    <row r="192" spans="2:25" s="15" customFormat="1">
      <c r="B192" s="147" t="s">
        <v>145</v>
      </c>
      <c r="C192" s="148" t="s">
        <v>332</v>
      </c>
      <c r="D192" s="150">
        <f>D185+D186+D189</f>
        <v>0</v>
      </c>
      <c r="E192" s="150">
        <f t="shared" ref="E192:J192" si="149">E185+E186+E189</f>
        <v>0</v>
      </c>
      <c r="F192" s="150">
        <f t="shared" si="149"/>
        <v>0</v>
      </c>
      <c r="G192" s="150">
        <f>G185+G186+G189</f>
        <v>0</v>
      </c>
      <c r="H192" s="150">
        <f t="shared" si="149"/>
        <v>0</v>
      </c>
      <c r="I192" s="150">
        <f t="shared" si="149"/>
        <v>0</v>
      </c>
      <c r="J192" s="150">
        <f t="shared" si="149"/>
        <v>0</v>
      </c>
      <c r="K192" s="150"/>
      <c r="L192" s="150"/>
      <c r="M192" s="150"/>
      <c r="N192" s="150"/>
      <c r="O192" s="150"/>
      <c r="P192" s="150"/>
      <c r="Q192" s="150"/>
      <c r="R192" s="150"/>
      <c r="S192" s="150"/>
      <c r="T192"/>
      <c r="U192" s="150"/>
      <c r="V192" s="150"/>
      <c r="W192"/>
      <c r="X192" s="150"/>
      <c r="Y192" s="150"/>
    </row>
    <row r="193" spans="2:25" s="128" customFormat="1" ht="15.65" customHeight="1">
      <c r="B193" s="159"/>
      <c r="C193" s="160"/>
      <c r="D193" s="153"/>
      <c r="E193" s="153"/>
      <c r="F193" s="153"/>
      <c r="G193" s="155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/>
      <c r="U193" s="161"/>
      <c r="V193" s="161"/>
      <c r="W193"/>
      <c r="X193" s="161"/>
      <c r="Y193" s="161"/>
    </row>
    <row r="194" spans="2:25" s="128" customFormat="1" ht="15.65" customHeight="1">
      <c r="B194" s="147" t="s">
        <v>151</v>
      </c>
      <c r="C194" s="148" t="s">
        <v>333</v>
      </c>
      <c r="D194" s="153"/>
      <c r="E194" s="153"/>
      <c r="F194" s="153"/>
      <c r="G194" s="155"/>
      <c r="H194" s="161"/>
      <c r="I194" s="161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/>
      <c r="U194" s="162"/>
      <c r="V194" s="162"/>
      <c r="W194"/>
      <c r="X194" s="162"/>
      <c r="Y194" s="162"/>
    </row>
    <row r="195" spans="2:25" s="128" customFormat="1" ht="15.65" customHeight="1">
      <c r="B195" s="151" t="s">
        <v>144</v>
      </c>
      <c r="C195" s="152" t="s">
        <v>326</v>
      </c>
      <c r="D195" s="153"/>
      <c r="E195" s="154">
        <f>D203</f>
        <v>0</v>
      </c>
      <c r="F195" s="154">
        <f>E203</f>
        <v>0</v>
      </c>
      <c r="G195" s="154">
        <f t="shared" ref="G195:J195" si="150">F203</f>
        <v>0</v>
      </c>
      <c r="H195" s="154">
        <f>G203</f>
        <v>0</v>
      </c>
      <c r="I195" s="154" t="e">
        <f t="shared" si="150"/>
        <v>#DIV/0!</v>
      </c>
      <c r="J195" s="154" t="e">
        <f t="shared" si="150"/>
        <v>#DIV/0!</v>
      </c>
      <c r="K195" s="162"/>
      <c r="L195" s="162"/>
      <c r="M195" s="162"/>
      <c r="N195" s="162"/>
      <c r="O195" s="162"/>
      <c r="P195" s="162"/>
      <c r="Q195" s="162"/>
      <c r="R195" s="162"/>
      <c r="S195" s="162"/>
      <c r="T195"/>
      <c r="U195" s="162"/>
      <c r="V195" s="162"/>
      <c r="W195"/>
      <c r="X195" s="162"/>
      <c r="Y195" s="162"/>
    </row>
    <row r="196" spans="2:25" s="128" customFormat="1" ht="15.65" customHeight="1">
      <c r="B196" s="156" t="s">
        <v>147</v>
      </c>
      <c r="C196" s="157" t="s">
        <v>327</v>
      </c>
      <c r="D196" s="166">
        <f>SUM(D197,D199)</f>
        <v>0</v>
      </c>
      <c r="E196" s="166">
        <f>SUM(E197,E199)</f>
        <v>0</v>
      </c>
      <c r="F196" s="166">
        <f t="shared" ref="F196:J196" si="151">SUM(F197,F199)</f>
        <v>0</v>
      </c>
      <c r="G196" s="166">
        <f t="shared" si="151"/>
        <v>0</v>
      </c>
      <c r="H196" s="166" t="e">
        <f t="shared" si="151"/>
        <v>#DIV/0!</v>
      </c>
      <c r="I196" s="166" t="e">
        <f t="shared" si="151"/>
        <v>#DIV/0!</v>
      </c>
      <c r="J196" s="166" t="e">
        <f t="shared" si="151"/>
        <v>#DIV/0!</v>
      </c>
      <c r="K196" s="162"/>
      <c r="L196" s="162"/>
      <c r="M196" s="162"/>
      <c r="N196" s="162"/>
      <c r="O196" s="162"/>
      <c r="P196" s="162"/>
      <c r="Q196" s="162"/>
      <c r="R196" s="162"/>
      <c r="S196" s="162"/>
      <c r="T196"/>
      <c r="U196" s="162"/>
      <c r="V196" s="162"/>
      <c r="W196"/>
      <c r="X196" s="162"/>
      <c r="Y196" s="162"/>
    </row>
    <row r="197" spans="2:25" s="128" customFormat="1" ht="15.65" customHeight="1">
      <c r="B197" s="159" t="s">
        <v>158</v>
      </c>
      <c r="C197" s="196" t="s">
        <v>334</v>
      </c>
      <c r="D197" s="153"/>
      <c r="E197" s="153"/>
      <c r="F197" s="153"/>
      <c r="G197" s="153"/>
      <c r="H197" s="155" t="e">
        <f t="shared" ref="H197:J197" si="152">AVERAGE(H185,H192)*H198</f>
        <v>#DIV/0!</v>
      </c>
      <c r="I197" s="155" t="e">
        <f t="shared" si="152"/>
        <v>#DIV/0!</v>
      </c>
      <c r="J197" s="155" t="e">
        <f t="shared" si="152"/>
        <v>#DIV/0!</v>
      </c>
      <c r="K197" s="162"/>
      <c r="L197" s="162"/>
      <c r="M197" s="162"/>
      <c r="N197" s="162"/>
      <c r="O197" s="162"/>
      <c r="P197" s="162"/>
      <c r="Q197" s="162"/>
      <c r="R197" s="162"/>
      <c r="S197" s="162"/>
      <c r="T197"/>
      <c r="U197" s="162"/>
      <c r="V197" s="162"/>
      <c r="W197"/>
      <c r="X197" s="162"/>
      <c r="Y197" s="162"/>
    </row>
    <row r="198" spans="2:25" s="128" customFormat="1" ht="15.65" customHeight="1">
      <c r="B198" s="167" t="s">
        <v>174</v>
      </c>
      <c r="C198" s="197" t="s">
        <v>335</v>
      </c>
      <c r="D198" s="153"/>
      <c r="E198" s="168" t="e">
        <f>E197/AVERAGE(E185,E192)</f>
        <v>#DIV/0!</v>
      </c>
      <c r="F198" s="168" t="e">
        <f>F197/AVERAGE(F185,F192)</f>
        <v>#DIV/0!</v>
      </c>
      <c r="G198" s="168" t="e">
        <f>G197/AVERAGE(G185,G192)</f>
        <v>#DIV/0!</v>
      </c>
      <c r="H198" s="169" t="e">
        <f>G198</f>
        <v>#DIV/0!</v>
      </c>
      <c r="I198" s="169" t="e">
        <f t="shared" ref="I198:J198" si="153">H198</f>
        <v>#DIV/0!</v>
      </c>
      <c r="J198" s="169" t="e">
        <f t="shared" si="153"/>
        <v>#DIV/0!</v>
      </c>
      <c r="K198" s="162"/>
      <c r="L198" s="162"/>
      <c r="M198" s="162"/>
      <c r="N198" s="162"/>
      <c r="O198" s="162"/>
      <c r="P198" s="162"/>
      <c r="Q198" s="162"/>
      <c r="R198" s="162"/>
      <c r="S198" s="162"/>
      <c r="T198"/>
      <c r="U198" s="162"/>
      <c r="V198" s="162"/>
      <c r="W198"/>
      <c r="X198" s="162"/>
      <c r="Y198" s="162"/>
    </row>
    <row r="199" spans="2:25" s="128" customFormat="1" ht="15.65" customHeight="1">
      <c r="B199" s="159" t="s">
        <v>173</v>
      </c>
      <c r="C199" s="196" t="s">
        <v>336</v>
      </c>
      <c r="D199" s="153"/>
      <c r="E199" s="153"/>
      <c r="F199" s="153"/>
      <c r="G199" s="153"/>
      <c r="H199" s="155"/>
      <c r="I199" s="155"/>
      <c r="J199" s="155"/>
      <c r="K199" s="162"/>
      <c r="L199" s="162"/>
      <c r="M199" s="162"/>
      <c r="N199" s="162"/>
      <c r="O199" s="162"/>
      <c r="P199" s="162"/>
      <c r="Q199" s="162"/>
      <c r="R199" s="162"/>
      <c r="S199" s="162"/>
      <c r="T199"/>
      <c r="U199" s="162"/>
      <c r="V199" s="162"/>
      <c r="W199"/>
      <c r="X199" s="162"/>
      <c r="Y199" s="162"/>
    </row>
    <row r="200" spans="2:25" s="128" customFormat="1" ht="15.65" customHeight="1">
      <c r="B200" s="156" t="s">
        <v>148</v>
      </c>
      <c r="C200" s="157" t="s">
        <v>329</v>
      </c>
      <c r="D200" s="158">
        <f>SUM(D201:D202)</f>
        <v>0</v>
      </c>
      <c r="E200" s="158">
        <f t="shared" ref="E200:J200" si="154">SUM(E201:E202)</f>
        <v>0</v>
      </c>
      <c r="F200" s="158">
        <f t="shared" si="154"/>
        <v>0</v>
      </c>
      <c r="G200" s="158">
        <f t="shared" si="154"/>
        <v>0</v>
      </c>
      <c r="H200" s="158">
        <f t="shared" si="154"/>
        <v>0</v>
      </c>
      <c r="I200" s="158">
        <f t="shared" si="154"/>
        <v>0</v>
      </c>
      <c r="J200" s="158">
        <f t="shared" si="154"/>
        <v>0</v>
      </c>
      <c r="K200" s="162"/>
      <c r="L200" s="162"/>
      <c r="M200" s="162"/>
      <c r="N200" s="162"/>
      <c r="O200" s="162"/>
      <c r="P200" s="162"/>
      <c r="Q200" s="162"/>
      <c r="R200" s="162"/>
      <c r="S200" s="162"/>
      <c r="T200"/>
      <c r="U200" s="162"/>
      <c r="V200" s="162"/>
      <c r="W200"/>
      <c r="X200" s="162"/>
      <c r="Y200" s="162"/>
    </row>
    <row r="201" spans="2:25" s="128" customFormat="1" ht="15.65" customHeight="1">
      <c r="B201" s="159" t="s">
        <v>149</v>
      </c>
      <c r="C201" s="196" t="s">
        <v>330</v>
      </c>
      <c r="D201" s="153"/>
      <c r="E201" s="153"/>
      <c r="F201" s="153"/>
      <c r="G201" s="153"/>
      <c r="H201" s="155"/>
      <c r="I201" s="155"/>
      <c r="J201" s="155"/>
      <c r="K201" s="162"/>
      <c r="L201" s="162"/>
      <c r="M201" s="162"/>
      <c r="N201" s="162"/>
      <c r="O201" s="162"/>
      <c r="P201" s="162"/>
      <c r="Q201" s="162"/>
      <c r="R201" s="162"/>
      <c r="S201" s="162"/>
      <c r="T201"/>
      <c r="U201" s="162"/>
      <c r="V201" s="162"/>
      <c r="W201"/>
      <c r="X201" s="162"/>
      <c r="Y201" s="162"/>
    </row>
    <row r="202" spans="2:25" s="128" customFormat="1" ht="15.65" customHeight="1">
      <c r="B202" s="159" t="s">
        <v>150</v>
      </c>
      <c r="C202" s="196" t="s">
        <v>331</v>
      </c>
      <c r="D202" s="153"/>
      <c r="E202" s="153"/>
      <c r="F202" s="153"/>
      <c r="G202" s="153"/>
      <c r="H202" s="155"/>
      <c r="I202" s="155"/>
      <c r="J202" s="155"/>
      <c r="K202" s="162"/>
      <c r="L202" s="162"/>
      <c r="M202" s="162"/>
      <c r="N202" s="162"/>
      <c r="O202" s="162"/>
      <c r="P202" s="162"/>
      <c r="Q202" s="162"/>
      <c r="R202" s="162"/>
      <c r="S202" s="162"/>
      <c r="T202"/>
      <c r="U202" s="162"/>
      <c r="V202" s="162"/>
      <c r="W202"/>
      <c r="X202" s="162"/>
      <c r="Y202" s="162"/>
    </row>
    <row r="203" spans="2:25" s="15" customFormat="1">
      <c r="B203" s="147" t="s">
        <v>145</v>
      </c>
      <c r="C203" s="148" t="s">
        <v>332</v>
      </c>
      <c r="D203" s="150">
        <f>D195+D196-D200</f>
        <v>0</v>
      </c>
      <c r="E203" s="150">
        <f t="shared" ref="E203" si="155">E195+E196-E200</f>
        <v>0</v>
      </c>
      <c r="F203" s="150">
        <f>F195+F196-F200</f>
        <v>0</v>
      </c>
      <c r="G203" s="150">
        <f>G195+G196-G200</f>
        <v>0</v>
      </c>
      <c r="H203" s="150" t="e">
        <f t="shared" ref="H203:J203" si="156">H195+H196-H200</f>
        <v>#DIV/0!</v>
      </c>
      <c r="I203" s="150" t="e">
        <f t="shared" si="156"/>
        <v>#DIV/0!</v>
      </c>
      <c r="J203" s="150" t="e">
        <f t="shared" si="156"/>
        <v>#DIV/0!</v>
      </c>
      <c r="K203" s="150"/>
      <c r="L203" s="150"/>
      <c r="M203" s="150"/>
      <c r="N203" s="150"/>
      <c r="O203" s="150"/>
      <c r="P203" s="150"/>
      <c r="Q203" s="150"/>
      <c r="R203" s="150"/>
      <c r="S203" s="150"/>
      <c r="T203"/>
      <c r="U203" s="150"/>
      <c r="V203" s="150"/>
      <c r="W203"/>
      <c r="X203" s="150"/>
      <c r="Y203" s="150"/>
    </row>
    <row r="204" spans="2:25" s="15" customFormat="1">
      <c r="B204" s="194" t="s">
        <v>314</v>
      </c>
      <c r="C204" s="195" t="s">
        <v>315</v>
      </c>
      <c r="D204" s="153"/>
      <c r="E204" s="153"/>
      <c r="F204" s="153"/>
      <c r="G204" s="153"/>
      <c r="H204" s="155">
        <f>G204</f>
        <v>0</v>
      </c>
      <c r="I204" s="155">
        <f>H204</f>
        <v>0</v>
      </c>
      <c r="J204" s="155">
        <f>I204</f>
        <v>0</v>
      </c>
      <c r="K204" s="150"/>
      <c r="L204" s="150"/>
      <c r="M204" s="150"/>
      <c r="N204" s="150"/>
      <c r="O204" s="150"/>
      <c r="P204" s="150"/>
      <c r="Q204" s="150"/>
      <c r="R204" s="150"/>
      <c r="S204" s="150"/>
      <c r="T204"/>
      <c r="U204" s="150"/>
      <c r="V204" s="150"/>
      <c r="W204"/>
      <c r="X204" s="150"/>
      <c r="Y204" s="150"/>
    </row>
    <row r="205" spans="2:25">
      <c r="B205" s="144" t="s">
        <v>152</v>
      </c>
      <c r="C205" s="145" t="s">
        <v>337</v>
      </c>
      <c r="D205" s="150">
        <f t="shared" ref="D205:J205" si="157">D192-D203-D204</f>
        <v>0</v>
      </c>
      <c r="E205" s="150">
        <f t="shared" si="157"/>
        <v>0</v>
      </c>
      <c r="F205" s="150">
        <f t="shared" si="157"/>
        <v>0</v>
      </c>
      <c r="G205" s="150">
        <f t="shared" si="157"/>
        <v>0</v>
      </c>
      <c r="H205" s="150" t="e">
        <f t="shared" si="157"/>
        <v>#DIV/0!</v>
      </c>
      <c r="I205" s="150" t="e">
        <f t="shared" si="157"/>
        <v>#DIV/0!</v>
      </c>
      <c r="J205" s="150" t="e">
        <f t="shared" si="157"/>
        <v>#DIV/0!</v>
      </c>
      <c r="K205" s="146"/>
      <c r="L205" s="146"/>
      <c r="M205" s="146"/>
      <c r="N205" s="146"/>
      <c r="O205" s="146"/>
      <c r="P205" s="146"/>
      <c r="Q205" s="146"/>
      <c r="R205" s="146"/>
      <c r="S205" s="146"/>
      <c r="T205"/>
      <c r="U205" s="146"/>
      <c r="V205" s="146"/>
      <c r="W205"/>
      <c r="X205" s="146"/>
      <c r="Y205" s="146"/>
    </row>
    <row r="206" spans="2:25" s="15" customFormat="1">
      <c r="B206" s="129"/>
      <c r="C206" s="130"/>
      <c r="D206" s="41"/>
      <c r="E206" s="41"/>
      <c r="F206" s="41"/>
      <c r="G206" s="41"/>
      <c r="H206" s="41"/>
      <c r="I206" s="41"/>
      <c r="J206" s="41"/>
      <c r="K206" s="25"/>
      <c r="L206" s="25"/>
      <c r="M206" s="25"/>
      <c r="N206" s="25"/>
      <c r="O206" s="25"/>
      <c r="P206" s="25"/>
      <c r="Q206" s="25"/>
      <c r="R206" s="25"/>
      <c r="S206" s="25"/>
      <c r="T206"/>
      <c r="U206" s="25"/>
      <c r="V206" s="25"/>
      <c r="W206"/>
      <c r="X206" s="25"/>
      <c r="Y206" s="25"/>
    </row>
    <row r="207" spans="2:25">
      <c r="G207" s="28"/>
      <c r="N207" s="33"/>
      <c r="O207" s="33"/>
      <c r="P207" s="33"/>
      <c r="Q207" s="33"/>
      <c r="R207" s="33"/>
      <c r="S207" s="33"/>
      <c r="T207"/>
      <c r="U207" s="33"/>
      <c r="V207" s="33"/>
      <c r="W207"/>
      <c r="X207" s="33"/>
      <c r="Y207" s="33"/>
    </row>
    <row r="208" spans="2:25">
      <c r="B208" s="198" t="s">
        <v>175</v>
      </c>
      <c r="C208" s="211" t="s">
        <v>338</v>
      </c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/>
      <c r="U208" s="200"/>
      <c r="V208" s="200"/>
      <c r="W208"/>
      <c r="X208" s="200"/>
      <c r="Y208" s="200"/>
    </row>
    <row r="209" spans="2:25">
      <c r="B209" s="201" t="s">
        <v>144</v>
      </c>
      <c r="C209" s="212" t="s">
        <v>326</v>
      </c>
      <c r="D209" s="202"/>
      <c r="E209" s="203">
        <f>D213</f>
        <v>0</v>
      </c>
      <c r="F209" s="203">
        <f>E213</f>
        <v>0</v>
      </c>
      <c r="G209" s="203">
        <f t="shared" ref="G209:J209" si="158">F213</f>
        <v>0</v>
      </c>
      <c r="H209" s="203">
        <f t="shared" si="158"/>
        <v>0</v>
      </c>
      <c r="I209" s="203" t="e">
        <f t="shared" si="158"/>
        <v>#DIV/0!</v>
      </c>
      <c r="J209" s="203" t="e">
        <f t="shared" si="158"/>
        <v>#DIV/0!</v>
      </c>
      <c r="K209" s="200"/>
      <c r="L209" s="200"/>
      <c r="M209" s="200"/>
      <c r="N209" s="200"/>
      <c r="O209" s="200"/>
      <c r="P209" s="200"/>
      <c r="Q209" s="200"/>
      <c r="R209" s="200"/>
      <c r="S209" s="200"/>
      <c r="T209"/>
      <c r="U209" s="200"/>
      <c r="V209" s="200"/>
      <c r="W209"/>
      <c r="X209" s="200"/>
      <c r="Y209" s="200"/>
    </row>
    <row r="210" spans="2:25">
      <c r="B210" s="204" t="s">
        <v>176</v>
      </c>
      <c r="C210" s="213" t="s">
        <v>339</v>
      </c>
      <c r="D210" s="202"/>
      <c r="E210" s="202"/>
      <c r="F210" s="202"/>
      <c r="G210" s="202"/>
      <c r="H210" s="205"/>
      <c r="I210" s="205"/>
      <c r="J210" s="205"/>
      <c r="K210" s="200"/>
      <c r="L210" s="200"/>
      <c r="M210" s="200"/>
      <c r="N210" s="200"/>
      <c r="O210" s="200"/>
      <c r="P210" s="200"/>
      <c r="Q210" s="200"/>
      <c r="R210" s="200"/>
      <c r="S210" s="200"/>
      <c r="T210"/>
      <c r="U210" s="200"/>
      <c r="V210" s="200"/>
      <c r="W210"/>
      <c r="X210" s="200"/>
      <c r="Y210" s="200"/>
    </row>
    <row r="211" spans="2:25">
      <c r="B211" s="204" t="s">
        <v>162</v>
      </c>
      <c r="C211" s="213" t="s">
        <v>340</v>
      </c>
      <c r="D211" s="202"/>
      <c r="E211" s="202"/>
      <c r="F211" s="202"/>
      <c r="G211" s="202"/>
      <c r="H211" s="206" t="e">
        <f t="shared" ref="H211:J211" si="159">H209*H212</f>
        <v>#DIV/0!</v>
      </c>
      <c r="I211" s="206" t="e">
        <f t="shared" si="159"/>
        <v>#DIV/0!</v>
      </c>
      <c r="J211" s="206" t="e">
        <f t="shared" si="159"/>
        <v>#DIV/0!</v>
      </c>
      <c r="K211" s="200"/>
      <c r="L211" s="200"/>
      <c r="M211" s="200"/>
      <c r="N211" s="200"/>
      <c r="O211" s="200"/>
      <c r="P211" s="200"/>
      <c r="Q211" s="200"/>
      <c r="R211" s="200"/>
      <c r="S211" s="200"/>
      <c r="T211"/>
      <c r="U211" s="200"/>
      <c r="V211" s="200"/>
      <c r="W211"/>
      <c r="X211" s="200"/>
      <c r="Y211" s="200"/>
    </row>
    <row r="212" spans="2:25">
      <c r="B212" s="207" t="s">
        <v>174</v>
      </c>
      <c r="C212" s="214" t="s">
        <v>335</v>
      </c>
      <c r="D212" s="208" t="e">
        <f>D211/AVERAGE(D209,D213)</f>
        <v>#DIV/0!</v>
      </c>
      <c r="E212" s="208" t="e">
        <f>E211/AVERAGE(E209,E213)</f>
        <v>#DIV/0!</v>
      </c>
      <c r="F212" s="208" t="e">
        <f>F211/AVERAGE(F209,F213)</f>
        <v>#DIV/0!</v>
      </c>
      <c r="G212" s="208" t="e">
        <f>G211/AVERAGE(G209,G213)</f>
        <v>#DIV/0!</v>
      </c>
      <c r="H212" s="209" t="e">
        <f t="shared" ref="H212:J212" si="160">G212</f>
        <v>#DIV/0!</v>
      </c>
      <c r="I212" s="209" t="e">
        <f t="shared" si="160"/>
        <v>#DIV/0!</v>
      </c>
      <c r="J212" s="209" t="e">
        <f t="shared" si="160"/>
        <v>#DIV/0!</v>
      </c>
      <c r="K212" s="200"/>
      <c r="L212" s="200"/>
      <c r="M212" s="200"/>
      <c r="N212" s="200"/>
      <c r="O212" s="200"/>
      <c r="P212" s="200"/>
      <c r="Q212" s="200"/>
      <c r="R212" s="200"/>
      <c r="S212" s="200"/>
      <c r="T212"/>
      <c r="U212" s="200"/>
      <c r="V212" s="200"/>
      <c r="W212"/>
      <c r="X212" s="200"/>
      <c r="Y212" s="200"/>
    </row>
    <row r="213" spans="2:25">
      <c r="B213" s="201" t="s">
        <v>145</v>
      </c>
      <c r="C213" s="212" t="s">
        <v>332</v>
      </c>
      <c r="D213" s="203">
        <f>D209+D210-D211</f>
        <v>0</v>
      </c>
      <c r="E213" s="203">
        <f t="shared" ref="E213:J213" si="161">E209+E210-E211</f>
        <v>0</v>
      </c>
      <c r="F213" s="203">
        <f t="shared" si="161"/>
        <v>0</v>
      </c>
      <c r="G213" s="203">
        <f t="shared" si="161"/>
        <v>0</v>
      </c>
      <c r="H213" s="203" t="e">
        <f t="shared" si="161"/>
        <v>#DIV/0!</v>
      </c>
      <c r="I213" s="203" t="e">
        <f t="shared" si="161"/>
        <v>#DIV/0!</v>
      </c>
      <c r="J213" s="203" t="e">
        <f t="shared" si="161"/>
        <v>#DIV/0!</v>
      </c>
      <c r="K213" s="200"/>
      <c r="L213" s="200"/>
      <c r="M213" s="200"/>
      <c r="N213" s="200"/>
      <c r="O213" s="200"/>
      <c r="P213" s="200"/>
      <c r="Q213" s="200"/>
      <c r="R213" s="200"/>
      <c r="S213" s="200"/>
      <c r="T213"/>
      <c r="U213" s="200"/>
      <c r="V213" s="200"/>
      <c r="W213"/>
      <c r="X213" s="200"/>
      <c r="Y213" s="200"/>
    </row>
    <row r="214" spans="2:25">
      <c r="B214" s="200"/>
      <c r="C214" s="199"/>
      <c r="D214" s="200"/>
      <c r="E214" s="200"/>
      <c r="F214" s="200"/>
      <c r="G214" s="21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/>
      <c r="U214" s="200"/>
      <c r="V214" s="200"/>
      <c r="W214"/>
      <c r="X214" s="200"/>
      <c r="Y214" s="200"/>
    </row>
    <row r="215" spans="2:25">
      <c r="B215" s="198" t="s">
        <v>177</v>
      </c>
      <c r="C215" s="211" t="s">
        <v>341</v>
      </c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/>
      <c r="U215" s="200"/>
      <c r="V215" s="200"/>
      <c r="W215"/>
      <c r="X215" s="200"/>
      <c r="Y215" s="200"/>
    </row>
    <row r="216" spans="2:25">
      <c r="B216" s="201" t="s">
        <v>144</v>
      </c>
      <c r="C216" s="212" t="s">
        <v>326</v>
      </c>
      <c r="D216" s="202"/>
      <c r="E216" s="203">
        <f>D220</f>
        <v>0</v>
      </c>
      <c r="F216" s="203">
        <f>E220</f>
        <v>0</v>
      </c>
      <c r="G216" s="203">
        <f t="shared" ref="G216:J216" si="162">F220</f>
        <v>0</v>
      </c>
      <c r="H216" s="203">
        <f t="shared" si="162"/>
        <v>0</v>
      </c>
      <c r="I216" s="203" t="e">
        <f t="shared" si="162"/>
        <v>#DIV/0!</v>
      </c>
      <c r="J216" s="203" t="e">
        <f t="shared" si="162"/>
        <v>#DIV/0!</v>
      </c>
      <c r="K216" s="200"/>
      <c r="L216" s="200"/>
      <c r="M216" s="200"/>
      <c r="N216" s="200"/>
      <c r="O216" s="200"/>
      <c r="P216" s="200"/>
      <c r="Q216" s="200"/>
      <c r="R216" s="200"/>
      <c r="S216" s="200"/>
      <c r="T216"/>
      <c r="U216" s="200"/>
      <c r="V216" s="200"/>
      <c r="W216"/>
      <c r="X216" s="200"/>
      <c r="Y216" s="200"/>
    </row>
    <row r="217" spans="2:25">
      <c r="B217" s="204" t="s">
        <v>178</v>
      </c>
      <c r="C217" s="213" t="s">
        <v>342</v>
      </c>
      <c r="D217" s="202"/>
      <c r="E217" s="202"/>
      <c r="F217" s="202"/>
      <c r="G217" s="202"/>
      <c r="H217" s="205"/>
      <c r="I217" s="205"/>
      <c r="J217" s="205"/>
      <c r="K217" s="200"/>
      <c r="L217" s="200"/>
      <c r="M217" s="200"/>
      <c r="N217" s="200"/>
      <c r="O217" s="200"/>
      <c r="P217" s="200"/>
      <c r="Q217" s="200"/>
      <c r="R217" s="200"/>
      <c r="S217" s="200"/>
      <c r="T217"/>
      <c r="U217" s="200"/>
      <c r="V217" s="200"/>
      <c r="W217"/>
      <c r="X217" s="200"/>
      <c r="Y217" s="200"/>
    </row>
    <row r="218" spans="2:25">
      <c r="B218" s="204" t="s">
        <v>162</v>
      </c>
      <c r="C218" s="213" t="s">
        <v>343</v>
      </c>
      <c r="D218" s="202"/>
      <c r="E218" s="202"/>
      <c r="F218" s="202"/>
      <c r="G218" s="202"/>
      <c r="H218" s="206" t="e">
        <f t="shared" ref="H218" si="163">H216*H219</f>
        <v>#DIV/0!</v>
      </c>
      <c r="I218" s="206" t="e">
        <f t="shared" ref="I218" si="164">I216*I219</f>
        <v>#DIV/0!</v>
      </c>
      <c r="J218" s="206" t="e">
        <f t="shared" ref="J218" si="165">J216*J219</f>
        <v>#DIV/0!</v>
      </c>
      <c r="K218" s="200"/>
      <c r="L218" s="200"/>
      <c r="M218" s="200"/>
      <c r="N218" s="200"/>
      <c r="O218" s="200"/>
      <c r="P218" s="200"/>
      <c r="Q218" s="200"/>
      <c r="R218" s="200"/>
      <c r="S218" s="200"/>
      <c r="T218"/>
      <c r="U218" s="200"/>
      <c r="V218" s="200"/>
      <c r="W218"/>
      <c r="X218" s="200"/>
      <c r="Y218" s="200"/>
    </row>
    <row r="219" spans="2:25">
      <c r="B219" s="207" t="s">
        <v>174</v>
      </c>
      <c r="C219" s="214" t="s">
        <v>344</v>
      </c>
      <c r="D219" s="208" t="e">
        <f>D218/AVERAGE(D216,D220)</f>
        <v>#DIV/0!</v>
      </c>
      <c r="E219" s="208" t="e">
        <f>E218/AVERAGE(E216,E220)</f>
        <v>#DIV/0!</v>
      </c>
      <c r="F219" s="208" t="e">
        <f>F218/AVERAGE(F216,F220)</f>
        <v>#DIV/0!</v>
      </c>
      <c r="G219" s="208" t="e">
        <f>G218/AVERAGE(G216,G220)</f>
        <v>#DIV/0!</v>
      </c>
      <c r="H219" s="209" t="e">
        <f t="shared" ref="H219:J219" si="166">G219</f>
        <v>#DIV/0!</v>
      </c>
      <c r="I219" s="209" t="e">
        <f t="shared" si="166"/>
        <v>#DIV/0!</v>
      </c>
      <c r="J219" s="209" t="e">
        <f t="shared" si="166"/>
        <v>#DIV/0!</v>
      </c>
      <c r="K219" s="200"/>
      <c r="L219" s="200"/>
      <c r="M219" s="200"/>
      <c r="N219" s="200"/>
      <c r="O219" s="200"/>
      <c r="P219" s="200"/>
      <c r="Q219" s="200"/>
      <c r="R219" s="200"/>
      <c r="S219" s="200"/>
      <c r="T219"/>
      <c r="U219" s="200"/>
      <c r="V219" s="200"/>
      <c r="W219"/>
      <c r="X219" s="200"/>
      <c r="Y219" s="200"/>
    </row>
    <row r="220" spans="2:25">
      <c r="B220" s="201" t="s">
        <v>145</v>
      </c>
      <c r="C220" s="212" t="s">
        <v>332</v>
      </c>
      <c r="D220" s="203">
        <f>D216+D217-D218</f>
        <v>0</v>
      </c>
      <c r="E220" s="203">
        <f t="shared" ref="E220:G220" si="167">E216+E217-E218</f>
        <v>0</v>
      </c>
      <c r="F220" s="203">
        <f t="shared" si="167"/>
        <v>0</v>
      </c>
      <c r="G220" s="203">
        <f t="shared" si="167"/>
        <v>0</v>
      </c>
      <c r="H220" s="203" t="e">
        <f t="shared" ref="H220:J220" si="168">H216+H217-H218</f>
        <v>#DIV/0!</v>
      </c>
      <c r="I220" s="203" t="e">
        <f t="shared" si="168"/>
        <v>#DIV/0!</v>
      </c>
      <c r="J220" s="203" t="e">
        <f t="shared" si="168"/>
        <v>#DIV/0!</v>
      </c>
      <c r="K220" s="200"/>
      <c r="L220" s="200"/>
      <c r="M220" s="200"/>
      <c r="N220" s="200"/>
      <c r="O220" s="200"/>
      <c r="P220" s="200"/>
      <c r="Q220" s="200"/>
      <c r="R220" s="200"/>
      <c r="S220" s="200"/>
      <c r="T220"/>
      <c r="U220" s="200"/>
      <c r="V220" s="200"/>
      <c r="W220"/>
      <c r="X220" s="200"/>
      <c r="Y220" s="200"/>
    </row>
    <row r="221" spans="2:25">
      <c r="G221" s="177"/>
      <c r="N221" s="33"/>
      <c r="O221" s="33"/>
      <c r="P221" s="33"/>
      <c r="Q221" s="33"/>
      <c r="R221" s="33"/>
      <c r="S221" s="33"/>
      <c r="T221"/>
      <c r="U221" s="33"/>
      <c r="V221" s="33"/>
      <c r="W221"/>
      <c r="X221" s="33"/>
      <c r="Y221" s="33"/>
    </row>
    <row r="222" spans="2:25">
      <c r="G222" s="78"/>
      <c r="N222" s="33"/>
      <c r="O222" s="33"/>
      <c r="P222" s="33"/>
      <c r="Q222" s="33"/>
      <c r="R222" s="33"/>
      <c r="S222" s="33"/>
      <c r="T222"/>
      <c r="U222" s="33"/>
      <c r="V222" s="33"/>
      <c r="W222"/>
      <c r="X222" s="33"/>
      <c r="Y222" s="33"/>
    </row>
    <row r="223" spans="2:25" s="15" customFormat="1">
      <c r="B223" s="25" t="s">
        <v>345</v>
      </c>
      <c r="C223" s="26" t="s">
        <v>346</v>
      </c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/>
      <c r="U223" s="25"/>
      <c r="V223" s="25"/>
      <c r="W223"/>
      <c r="X223" s="25"/>
      <c r="Y223" s="25"/>
    </row>
    <row r="224" spans="2:25" s="15" customFormat="1">
      <c r="B224" s="34" t="s">
        <v>347</v>
      </c>
      <c r="C224" s="35" t="s">
        <v>348</v>
      </c>
      <c r="D224" s="216"/>
      <c r="E224" s="216"/>
      <c r="F224" s="216"/>
      <c r="G224" s="216"/>
      <c r="H224" s="28" t="e">
        <f>H225*H226</f>
        <v>#DIV/0!</v>
      </c>
      <c r="I224" s="28" t="e">
        <f>I225*I226</f>
        <v>#DIV/0!</v>
      </c>
      <c r="J224" s="28" t="e">
        <f>J225*J226</f>
        <v>#DIV/0!</v>
      </c>
      <c r="K224" s="25"/>
      <c r="L224" s="25"/>
      <c r="M224" s="25"/>
      <c r="N224" s="25"/>
      <c r="O224" s="25"/>
      <c r="P224" s="25"/>
      <c r="Q224" s="25"/>
      <c r="R224" s="25"/>
      <c r="S224" s="25"/>
      <c r="T224"/>
      <c r="U224" s="25"/>
      <c r="V224" s="25"/>
      <c r="W224"/>
      <c r="X224" s="25"/>
      <c r="Y224" s="25"/>
    </row>
    <row r="225" spans="1:25">
      <c r="B225" s="34" t="s">
        <v>355</v>
      </c>
      <c r="C225" s="35" t="s">
        <v>356</v>
      </c>
      <c r="D225" s="216"/>
      <c r="E225" s="216">
        <f t="shared" ref="E225:J225" si="169">D129+D130</f>
        <v>0</v>
      </c>
      <c r="F225" s="216">
        <f t="shared" si="169"/>
        <v>0</v>
      </c>
      <c r="G225" s="216">
        <f t="shared" si="169"/>
        <v>0</v>
      </c>
      <c r="H225" s="39">
        <f t="shared" si="169"/>
        <v>0</v>
      </c>
      <c r="I225" s="39" t="e">
        <f t="shared" si="169"/>
        <v>#DIV/0!</v>
      </c>
      <c r="J225" s="39" t="e">
        <f t="shared" si="169"/>
        <v>#DIV/0!</v>
      </c>
      <c r="N225" s="33"/>
      <c r="O225" s="33"/>
      <c r="P225" s="33"/>
      <c r="Q225" s="33"/>
      <c r="R225" s="33"/>
      <c r="S225" s="33"/>
      <c r="T225"/>
      <c r="U225" s="33"/>
      <c r="V225" s="33"/>
      <c r="W225"/>
      <c r="X225" s="33"/>
      <c r="Y225" s="33"/>
    </row>
    <row r="226" spans="1:25">
      <c r="B226" s="34" t="s">
        <v>349</v>
      </c>
      <c r="C226" s="35" t="s">
        <v>350</v>
      </c>
      <c r="D226" s="170" t="e">
        <f>D224/D225</f>
        <v>#DIV/0!</v>
      </c>
      <c r="E226" s="170" t="e">
        <f>E224/E225</f>
        <v>#DIV/0!</v>
      </c>
      <c r="F226" s="170" t="e">
        <f>F224/F225</f>
        <v>#DIV/0!</v>
      </c>
      <c r="G226" s="170" t="e">
        <f>G224/G225</f>
        <v>#DIV/0!</v>
      </c>
      <c r="H226" s="215" t="e">
        <f>G226-0.2%</f>
        <v>#DIV/0!</v>
      </c>
      <c r="I226" s="215" t="e">
        <f t="shared" ref="I226:J226" si="170">H226-0.2%</f>
        <v>#DIV/0!</v>
      </c>
      <c r="J226" s="215" t="e">
        <f t="shared" si="170"/>
        <v>#DIV/0!</v>
      </c>
      <c r="N226" s="33"/>
      <c r="O226" s="33"/>
      <c r="P226" s="33"/>
      <c r="Q226" s="33"/>
      <c r="R226" s="33"/>
      <c r="S226" s="33"/>
      <c r="T226"/>
      <c r="U226" s="33"/>
      <c r="V226" s="33"/>
      <c r="W226"/>
      <c r="X226" s="33"/>
      <c r="Y226" s="33"/>
    </row>
    <row r="227" spans="1:25">
      <c r="B227" s="33" t="s">
        <v>351</v>
      </c>
      <c r="C227" s="45" t="s">
        <v>352</v>
      </c>
      <c r="D227" s="216"/>
      <c r="E227" s="216"/>
      <c r="F227" s="216"/>
      <c r="G227" s="216"/>
      <c r="H227" s="28">
        <f>H228*H229</f>
        <v>0</v>
      </c>
      <c r="I227" s="28">
        <f>I228*I229</f>
        <v>0</v>
      </c>
      <c r="J227" s="28">
        <f>J228*J229</f>
        <v>0</v>
      </c>
      <c r="N227" s="33"/>
      <c r="O227" s="33"/>
      <c r="P227" s="33"/>
      <c r="Q227" s="33"/>
      <c r="R227" s="33"/>
      <c r="S227" s="33"/>
      <c r="T227"/>
      <c r="U227" s="33"/>
      <c r="V227" s="33"/>
      <c r="W227"/>
      <c r="X227" s="33"/>
      <c r="Y227" s="33"/>
    </row>
    <row r="228" spans="1:25">
      <c r="B228" s="33" t="s">
        <v>357</v>
      </c>
      <c r="C228" s="45" t="s">
        <v>358</v>
      </c>
      <c r="D228" s="216">
        <f>D134+D147+D148+D149</f>
        <v>0</v>
      </c>
      <c r="E228" s="216">
        <f t="shared" ref="E228:J228" si="171">E134+E142+E147+E148+E149</f>
        <v>0</v>
      </c>
      <c r="F228" s="216">
        <f t="shared" si="171"/>
        <v>0</v>
      </c>
      <c r="G228" s="216">
        <f t="shared" si="171"/>
        <v>0</v>
      </c>
      <c r="H228" s="28">
        <f t="shared" si="171"/>
        <v>0</v>
      </c>
      <c r="I228" s="28">
        <f t="shared" si="171"/>
        <v>0</v>
      </c>
      <c r="J228" s="28">
        <f t="shared" si="171"/>
        <v>0</v>
      </c>
      <c r="N228" s="33"/>
      <c r="O228" s="33"/>
      <c r="P228" s="33"/>
      <c r="Q228" s="33"/>
      <c r="R228" s="33"/>
      <c r="S228" s="33"/>
      <c r="T228"/>
      <c r="U228" s="33"/>
      <c r="V228" s="33"/>
      <c r="W228"/>
      <c r="X228" s="33"/>
      <c r="Y228" s="33"/>
    </row>
    <row r="229" spans="1:25">
      <c r="B229" s="33" t="s">
        <v>359</v>
      </c>
      <c r="C229" s="45" t="s">
        <v>360</v>
      </c>
      <c r="D229" s="170" t="e">
        <f>D227/D228</f>
        <v>#DIV/0!</v>
      </c>
      <c r="E229" s="170" t="e">
        <f>E227/E228</f>
        <v>#DIV/0!</v>
      </c>
      <c r="F229" s="170" t="e">
        <f>F227/F228</f>
        <v>#DIV/0!</v>
      </c>
      <c r="G229" s="170" t="e">
        <f>G227/G228</f>
        <v>#DIV/0!</v>
      </c>
      <c r="H229" s="215"/>
      <c r="I229" s="215"/>
      <c r="J229" s="215"/>
      <c r="N229" s="33"/>
      <c r="O229" s="33"/>
      <c r="P229" s="33"/>
      <c r="Q229" s="33"/>
      <c r="R229" s="33"/>
      <c r="S229" s="33"/>
      <c r="T229"/>
      <c r="U229" s="33"/>
      <c r="V229" s="33"/>
      <c r="W229"/>
      <c r="X229" s="33"/>
      <c r="Y229" s="33"/>
    </row>
    <row r="230" spans="1:25">
      <c r="B230" s="33" t="s">
        <v>353</v>
      </c>
      <c r="C230" s="45" t="s">
        <v>354</v>
      </c>
      <c r="D230" s="216"/>
      <c r="E230" s="216"/>
      <c r="F230" s="216"/>
      <c r="G230" s="216"/>
      <c r="H230" s="28"/>
      <c r="I230" s="28"/>
      <c r="J230" s="28"/>
      <c r="N230" s="33"/>
      <c r="O230" s="33"/>
      <c r="P230" s="33"/>
      <c r="Q230" s="33"/>
      <c r="R230" s="33"/>
      <c r="S230" s="33"/>
      <c r="T230"/>
      <c r="U230" s="33"/>
      <c r="V230" s="33"/>
      <c r="W230"/>
      <c r="X230" s="33"/>
      <c r="Y230" s="33"/>
    </row>
    <row r="231" spans="1:25">
      <c r="B231" s="25" t="s">
        <v>200</v>
      </c>
      <c r="C231" s="26" t="s">
        <v>346</v>
      </c>
      <c r="D231" s="41">
        <f t="shared" ref="D231:J231" si="172">D224-D227-D230</f>
        <v>0</v>
      </c>
      <c r="E231" s="41">
        <f t="shared" si="172"/>
        <v>0</v>
      </c>
      <c r="F231" s="41">
        <f t="shared" si="172"/>
        <v>0</v>
      </c>
      <c r="G231" s="41">
        <f t="shared" si="172"/>
        <v>0</v>
      </c>
      <c r="H231" s="41" t="e">
        <f t="shared" si="172"/>
        <v>#DIV/0!</v>
      </c>
      <c r="I231" s="41" t="e">
        <f t="shared" si="172"/>
        <v>#DIV/0!</v>
      </c>
      <c r="J231" s="41" t="e">
        <f t="shared" si="172"/>
        <v>#DIV/0!</v>
      </c>
      <c r="N231" s="33"/>
      <c r="O231" s="33"/>
      <c r="P231" s="33"/>
      <c r="Q231" s="33"/>
      <c r="R231" s="33"/>
      <c r="S231" s="33"/>
      <c r="T231"/>
      <c r="U231" s="33"/>
      <c r="V231" s="33"/>
      <c r="W231"/>
      <c r="X231" s="33"/>
      <c r="Y231" s="33"/>
    </row>
    <row r="233" spans="1:25" ht="14.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 spans="1:25" ht="14.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</row>
  </sheetData>
  <phoneticPr fontId="4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C0A3-600C-4CFF-88AF-3C0AEE6C1EFD}">
  <dimension ref="A1:S4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2.5"/>
  <cols>
    <col min="1" max="1" width="34.6328125" customWidth="1"/>
    <col min="2" max="2" width="8.6328125" customWidth="1"/>
    <col min="3" max="9" width="9.6328125" customWidth="1"/>
    <col min="10" max="10" width="2.6328125" customWidth="1"/>
    <col min="11" max="18" width="9.6328125" customWidth="1"/>
    <col min="19" max="19" width="60.6328125" customWidth="1"/>
  </cols>
  <sheetData>
    <row r="1" spans="1:19" ht="13">
      <c r="A1" s="217" t="s">
        <v>463</v>
      </c>
      <c r="B1" s="217" t="s">
        <v>179</v>
      </c>
      <c r="C1" s="295" t="s">
        <v>217</v>
      </c>
      <c r="D1" s="295" t="s">
        <v>216</v>
      </c>
      <c r="E1" s="295" t="s">
        <v>215</v>
      </c>
      <c r="F1" s="295" t="s">
        <v>214</v>
      </c>
      <c r="G1" s="295" t="s">
        <v>218</v>
      </c>
      <c r="H1" s="295" t="s">
        <v>219</v>
      </c>
      <c r="I1" s="295" t="s">
        <v>220</v>
      </c>
      <c r="J1" s="295"/>
      <c r="K1" s="295" t="s">
        <v>419</v>
      </c>
      <c r="L1" s="295" t="s">
        <v>420</v>
      </c>
      <c r="M1" s="295" t="s">
        <v>415</v>
      </c>
      <c r="N1" s="295" t="s">
        <v>416</v>
      </c>
      <c r="O1" s="295" t="s">
        <v>376</v>
      </c>
      <c r="P1" s="295" t="s">
        <v>377</v>
      </c>
      <c r="Q1" s="295" t="s">
        <v>378</v>
      </c>
      <c r="R1" s="295" t="s">
        <v>375</v>
      </c>
      <c r="S1" s="217" t="s">
        <v>204</v>
      </c>
    </row>
    <row r="2" spans="1:19" ht="13.5">
      <c r="A2" s="172"/>
      <c r="B2" s="17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172"/>
    </row>
    <row r="3" spans="1:19" ht="13.5">
      <c r="A3" s="267" t="s">
        <v>464</v>
      </c>
      <c r="B3" s="267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67"/>
    </row>
    <row r="4" spans="1:19" ht="13.5">
      <c r="A4" s="172" t="s">
        <v>465</v>
      </c>
      <c r="B4" s="172" t="s">
        <v>205</v>
      </c>
      <c r="C4" s="284"/>
      <c r="D4" s="284"/>
      <c r="E4" s="284"/>
      <c r="F4" s="284"/>
      <c r="G4" s="282">
        <f>SUM(O4:R4)</f>
        <v>0</v>
      </c>
      <c r="H4" s="282">
        <f>H16*H18</f>
        <v>0</v>
      </c>
      <c r="I4" s="282">
        <f>I16*I18</f>
        <v>0</v>
      </c>
      <c r="J4" s="282"/>
      <c r="K4" s="284"/>
      <c r="L4" s="284"/>
      <c r="M4" s="284"/>
      <c r="N4" s="284"/>
      <c r="O4" s="284"/>
      <c r="P4" s="284"/>
      <c r="Q4" s="284"/>
      <c r="R4" s="282">
        <f>N4*(1+R5)</f>
        <v>0</v>
      </c>
      <c r="S4" s="172" t="s">
        <v>486</v>
      </c>
    </row>
    <row r="5" spans="1:19" ht="13.5">
      <c r="A5" s="218" t="s">
        <v>467</v>
      </c>
      <c r="B5" s="218" t="s">
        <v>207</v>
      </c>
      <c r="C5" s="292"/>
      <c r="D5" s="292" t="str">
        <f>IFERROR(D4/C4-1,"")</f>
        <v/>
      </c>
      <c r="E5" s="292" t="str">
        <f>IFERROR(E4/D4-1,"")</f>
        <v/>
      </c>
      <c r="F5" s="292" t="str">
        <f>IFERROR(F4/E4-1,"")</f>
        <v/>
      </c>
      <c r="G5" s="292" t="str">
        <f>IFERROR(G4/F4-1,"")</f>
        <v/>
      </c>
      <c r="H5" s="293" t="str">
        <f>IFERROR(H4/G4-1,"")</f>
        <v/>
      </c>
      <c r="I5" s="293" t="str">
        <f>IFERROR(I4/H4-1,"")</f>
        <v/>
      </c>
      <c r="J5" s="292"/>
      <c r="K5" s="292"/>
      <c r="L5" s="292"/>
      <c r="M5" s="292"/>
      <c r="N5" s="292"/>
      <c r="O5" s="292" t="str">
        <f>IFERROR(O4/K4-1,"")</f>
        <v/>
      </c>
      <c r="P5" s="292" t="str">
        <f>IFERROR(P4/L4-1,"")</f>
        <v/>
      </c>
      <c r="Q5" s="292" t="str">
        <f>IFERROR(Q4/M4-1,"")</f>
        <v/>
      </c>
      <c r="R5" s="268"/>
      <c r="S5" s="172" t="s">
        <v>468</v>
      </c>
    </row>
    <row r="6" spans="1:19" ht="13.5">
      <c r="A6" s="172" t="s">
        <v>469</v>
      </c>
      <c r="B6" s="172" t="s">
        <v>205</v>
      </c>
      <c r="C6" s="284"/>
      <c r="D6" s="284"/>
      <c r="E6" s="284"/>
      <c r="F6" s="284"/>
      <c r="G6" s="282">
        <f>SUM(O6:R6)</f>
        <v>0</v>
      </c>
      <c r="H6" s="282">
        <f>G6*(1+H7)</f>
        <v>0</v>
      </c>
      <c r="I6" s="282">
        <f>H6*(1+I7)</f>
        <v>0</v>
      </c>
      <c r="J6" s="282"/>
      <c r="K6" s="284"/>
      <c r="L6" s="284"/>
      <c r="M6" s="284"/>
      <c r="N6" s="284"/>
      <c r="O6" s="284"/>
      <c r="P6" s="284"/>
      <c r="Q6" s="284"/>
      <c r="R6" s="282">
        <f>N6*(1+R7)</f>
        <v>0</v>
      </c>
      <c r="S6" s="172" t="s">
        <v>466</v>
      </c>
    </row>
    <row r="7" spans="1:19" ht="13.5">
      <c r="A7" s="218" t="s">
        <v>470</v>
      </c>
      <c r="B7" s="218" t="s">
        <v>207</v>
      </c>
      <c r="C7" s="292"/>
      <c r="D7" s="292" t="str">
        <f>IFERROR(D6/C6-1,"")</f>
        <v/>
      </c>
      <c r="E7" s="292" t="str">
        <f>IFERROR(E6/D6-1,"")</f>
        <v/>
      </c>
      <c r="F7" s="292" t="str">
        <f>IFERROR(F6/E6-1,"")</f>
        <v/>
      </c>
      <c r="G7" s="292" t="str">
        <f>IFERROR(G6/F6-1,"")</f>
        <v/>
      </c>
      <c r="H7" s="268"/>
      <c r="I7" s="268"/>
      <c r="J7" s="292"/>
      <c r="K7" s="292"/>
      <c r="L7" s="292"/>
      <c r="M7" s="292"/>
      <c r="N7" s="292"/>
      <c r="O7" s="292" t="str">
        <f>IFERROR(O6/K6-1,"")</f>
        <v/>
      </c>
      <c r="P7" s="292" t="str">
        <f>IFERROR(P6/L6-1,"")</f>
        <v/>
      </c>
      <c r="Q7" s="292" t="str">
        <f>IFERROR(Q6/M6-1,"")</f>
        <v/>
      </c>
      <c r="R7" s="268"/>
      <c r="S7" s="172" t="s">
        <v>468</v>
      </c>
    </row>
    <row r="8" spans="1:19" ht="13.5">
      <c r="A8" s="172" t="s">
        <v>471</v>
      </c>
      <c r="B8" s="172" t="s">
        <v>205</v>
      </c>
      <c r="C8" s="284"/>
      <c r="D8" s="284"/>
      <c r="E8" s="284"/>
      <c r="F8" s="284"/>
      <c r="G8" s="282">
        <f>SUM(O8:R8)</f>
        <v>0</v>
      </c>
      <c r="H8" s="282">
        <f>G8*(1+H9)</f>
        <v>0</v>
      </c>
      <c r="I8" s="282">
        <f>H8*(1+I9)</f>
        <v>0</v>
      </c>
      <c r="J8" s="282"/>
      <c r="K8" s="284"/>
      <c r="L8" s="284"/>
      <c r="M8" s="284"/>
      <c r="N8" s="284"/>
      <c r="O8" s="284"/>
      <c r="P8" s="284"/>
      <c r="Q8" s="284"/>
      <c r="R8" s="282">
        <f>N8*(1+R9)</f>
        <v>0</v>
      </c>
      <c r="S8" s="172" t="s">
        <v>466</v>
      </c>
    </row>
    <row r="9" spans="1:19" ht="13.5">
      <c r="A9" s="218" t="s">
        <v>472</v>
      </c>
      <c r="B9" s="218" t="s">
        <v>207</v>
      </c>
      <c r="C9" s="292"/>
      <c r="D9" s="292" t="str">
        <f>IFERROR(D8/C8-1,"")</f>
        <v/>
      </c>
      <c r="E9" s="292" t="str">
        <f>IFERROR(E8/D8-1,"")</f>
        <v/>
      </c>
      <c r="F9" s="292" t="str">
        <f>IFERROR(F8/E8-1,"")</f>
        <v/>
      </c>
      <c r="G9" s="292" t="str">
        <f>IFERROR(G8/F8-1,"")</f>
        <v/>
      </c>
      <c r="H9" s="268"/>
      <c r="I9" s="268"/>
      <c r="J9" s="292"/>
      <c r="K9" s="292"/>
      <c r="L9" s="292"/>
      <c r="M9" s="292"/>
      <c r="N9" s="292"/>
      <c r="O9" s="292" t="str">
        <f>IFERROR(O8/K8-1,"")</f>
        <v/>
      </c>
      <c r="P9" s="292" t="str">
        <f>IFERROR(P8/L8-1,"")</f>
        <v/>
      </c>
      <c r="Q9" s="292" t="str">
        <f>IFERROR(Q8/M8-1,"")</f>
        <v/>
      </c>
      <c r="R9" s="268"/>
      <c r="S9" s="172" t="s">
        <v>468</v>
      </c>
    </row>
    <row r="10" spans="1:19" ht="13.5">
      <c r="A10" s="172" t="s">
        <v>473</v>
      </c>
      <c r="B10" s="172" t="s">
        <v>205</v>
      </c>
      <c r="C10" s="282">
        <f>C12-C4-C6-C8</f>
        <v>0</v>
      </c>
      <c r="D10" s="282">
        <f>D12-D4-D6-D8</f>
        <v>0</v>
      </c>
      <c r="E10" s="282">
        <f>E12-E4-E6-E8</f>
        <v>0</v>
      </c>
      <c r="F10" s="282">
        <f>F12-F4-F6-F8</f>
        <v>0</v>
      </c>
      <c r="G10" s="282">
        <f>SUM(O10:R10)</f>
        <v>0</v>
      </c>
      <c r="H10" s="282">
        <f>G10*(1+H11)</f>
        <v>0</v>
      </c>
      <c r="I10" s="282">
        <f>H10*(1+I11)</f>
        <v>0</v>
      </c>
      <c r="J10" s="282"/>
      <c r="K10" s="282">
        <f>K12-K4-K6-K8</f>
        <v>0</v>
      </c>
      <c r="L10" s="282">
        <f>L12-L4-L6-L8</f>
        <v>0</v>
      </c>
      <c r="M10" s="282">
        <f>M12-M4-M6-M8</f>
        <v>0</v>
      </c>
      <c r="N10" s="282">
        <f>N12-N4-N6-N8</f>
        <v>0</v>
      </c>
      <c r="O10" s="282">
        <f>O12-O4-O6-O8</f>
        <v>0</v>
      </c>
      <c r="P10" s="282">
        <f>P12-P4-P6-P8</f>
        <v>0</v>
      </c>
      <c r="Q10" s="282">
        <f>Q12-Q4-Q6-Q8</f>
        <v>0</v>
      </c>
      <c r="R10" s="282">
        <f>N10*(1+R11)</f>
        <v>0</v>
      </c>
      <c r="S10" s="172" t="s">
        <v>474</v>
      </c>
    </row>
    <row r="11" spans="1:19" ht="13.5">
      <c r="A11" s="218" t="s">
        <v>475</v>
      </c>
      <c r="B11" s="218" t="s">
        <v>207</v>
      </c>
      <c r="C11" s="292"/>
      <c r="D11" s="292" t="str">
        <f>IFERROR(D10/C10-1,"")</f>
        <v/>
      </c>
      <c r="E11" s="292" t="str">
        <f>IFERROR(E10/D10-1,"")</f>
        <v/>
      </c>
      <c r="F11" s="292" t="str">
        <f>IFERROR(F10/E10-1,"")</f>
        <v/>
      </c>
      <c r="G11" s="292" t="str">
        <f>IFERROR(G10/F10-1,"")</f>
        <v/>
      </c>
      <c r="H11" s="268"/>
      <c r="I11" s="268"/>
      <c r="J11" s="292"/>
      <c r="K11" s="292"/>
      <c r="L11" s="292"/>
      <c r="M11" s="292"/>
      <c r="N11" s="292"/>
      <c r="O11" s="292" t="str">
        <f>IFERROR(O10/K10-1,"")</f>
        <v/>
      </c>
      <c r="P11" s="292" t="str">
        <f>IFERROR(P10/L10-1,"")</f>
        <v/>
      </c>
      <c r="Q11" s="292" t="str">
        <f>IFERROR(Q10/M10-1,"")</f>
        <v/>
      </c>
      <c r="R11" s="268"/>
      <c r="S11" s="172" t="s">
        <v>476</v>
      </c>
    </row>
    <row r="12" spans="1:19" ht="13.5">
      <c r="A12" s="171" t="s">
        <v>206</v>
      </c>
      <c r="B12" s="171" t="s">
        <v>205</v>
      </c>
      <c r="C12" s="287">
        <f>'3S'!D4/100000</f>
        <v>0</v>
      </c>
      <c r="D12" s="287">
        <f>'3S'!E4/100000</f>
        <v>0</v>
      </c>
      <c r="E12" s="287">
        <f>'3S'!F4/100000</f>
        <v>0</v>
      </c>
      <c r="F12" s="287">
        <f>'3S'!G4/100000</f>
        <v>0</v>
      </c>
      <c r="G12" s="287">
        <f>G4+G6+G8+G10</f>
        <v>0</v>
      </c>
      <c r="H12" s="287">
        <f>H4+H6+H8+H10</f>
        <v>0</v>
      </c>
      <c r="I12" s="287">
        <f>I4+I6+I8+I10</f>
        <v>0</v>
      </c>
      <c r="J12" s="287"/>
      <c r="K12" s="287">
        <f>'3S'!L4/100000</f>
        <v>0</v>
      </c>
      <c r="L12" s="287">
        <f>'3S'!M4/100000</f>
        <v>0</v>
      </c>
      <c r="M12" s="287">
        <f>'3S'!N4/100000</f>
        <v>0</v>
      </c>
      <c r="N12" s="287">
        <f>'3S'!O4/100000</f>
        <v>0</v>
      </c>
      <c r="O12" s="287">
        <f>'3S'!P4/100000</f>
        <v>0</v>
      </c>
      <c r="P12" s="287">
        <f>'3S'!Q4/100000</f>
        <v>0</v>
      </c>
      <c r="Q12" s="287">
        <f>'3S'!R4/100000</f>
        <v>0</v>
      </c>
      <c r="R12" s="287">
        <f>R4+R6+R8+R10</f>
        <v>0</v>
      </c>
      <c r="S12" s="171" t="s">
        <v>477</v>
      </c>
    </row>
    <row r="13" spans="1:19" ht="13.5">
      <c r="A13" s="218" t="s">
        <v>212</v>
      </c>
      <c r="B13" s="218" t="s">
        <v>207</v>
      </c>
      <c r="C13" s="292"/>
      <c r="D13" s="292" t="str">
        <f>IFERROR(D12/C12-1,"")</f>
        <v/>
      </c>
      <c r="E13" s="292" t="str">
        <f>IFERROR(E12/D12-1,"")</f>
        <v/>
      </c>
      <c r="F13" s="292" t="str">
        <f>IFERROR(F12/E12-1,"")</f>
        <v/>
      </c>
      <c r="G13" s="292" t="str">
        <f>IFERROR(G12/F12-1,"")</f>
        <v/>
      </c>
      <c r="H13" s="292" t="str">
        <f>IFERROR(H12/G12-1,"")</f>
        <v/>
      </c>
      <c r="I13" s="292" t="str">
        <f>IFERROR(I12/H12-1,"")</f>
        <v/>
      </c>
      <c r="J13" s="292"/>
      <c r="K13" s="292"/>
      <c r="L13" s="292"/>
      <c r="M13" s="292"/>
      <c r="N13" s="292"/>
      <c r="O13" s="292" t="str">
        <f>IFERROR(O12/K12-1,"")</f>
        <v/>
      </c>
      <c r="P13" s="292" t="str">
        <f>IFERROR(P12/L12-1,"")</f>
        <v/>
      </c>
      <c r="Q13" s="292" t="str">
        <f>IFERROR(Q12/M12-1,"")</f>
        <v/>
      </c>
      <c r="R13" s="292" t="str">
        <f>IFERROR(R12/N12-1,"")</f>
        <v/>
      </c>
      <c r="S13" s="172"/>
    </row>
    <row r="14" spans="1:19" ht="13.5">
      <c r="A14" s="172"/>
      <c r="B14" s="17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172"/>
    </row>
    <row r="15" spans="1:19" ht="13.5">
      <c r="A15" s="269" t="s">
        <v>478</v>
      </c>
      <c r="B15" s="269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69"/>
    </row>
    <row r="16" spans="1:19" ht="13.5">
      <c r="A16" s="172" t="s">
        <v>210</v>
      </c>
      <c r="B16" s="172" t="s">
        <v>213</v>
      </c>
      <c r="C16" s="284"/>
      <c r="D16" s="284"/>
      <c r="E16" s="284"/>
      <c r="F16" s="284"/>
      <c r="G16" s="286"/>
      <c r="H16" s="282">
        <f>G16*(1+H17)</f>
        <v>0</v>
      </c>
      <c r="I16" s="282">
        <f>H16*(1+I17)</f>
        <v>0</v>
      </c>
      <c r="J16" s="282"/>
      <c r="K16" s="282"/>
      <c r="L16" s="282"/>
      <c r="M16" s="282"/>
      <c r="N16" s="282"/>
      <c r="O16" s="282"/>
      <c r="P16" s="282"/>
      <c r="Q16" s="282"/>
      <c r="R16" s="282"/>
      <c r="S16" s="172" t="s">
        <v>479</v>
      </c>
    </row>
    <row r="17" spans="1:19" ht="13.5">
      <c r="A17" s="218" t="s">
        <v>211</v>
      </c>
      <c r="B17" s="218" t="s">
        <v>207</v>
      </c>
      <c r="C17" s="292"/>
      <c r="D17" s="292" t="str">
        <f>IFERROR(D16/C16-1,"")</f>
        <v/>
      </c>
      <c r="E17" s="292" t="str">
        <f>IFERROR(E16/D16-1,"")</f>
        <v/>
      </c>
      <c r="F17" s="292" t="str">
        <f>IFERROR(F16/E16-1,"")</f>
        <v/>
      </c>
      <c r="G17" s="292" t="str">
        <f>IFERROR(G16/F16-1,"")</f>
        <v/>
      </c>
      <c r="H17" s="268"/>
      <c r="I17" s="268"/>
      <c r="J17" s="292"/>
      <c r="K17" s="292"/>
      <c r="L17" s="292"/>
      <c r="M17" s="292"/>
      <c r="N17" s="292"/>
      <c r="O17" s="292"/>
      <c r="P17" s="292"/>
      <c r="Q17" s="292"/>
      <c r="R17" s="292"/>
      <c r="S17" s="172" t="s">
        <v>480</v>
      </c>
    </row>
    <row r="18" spans="1:19" ht="13.5">
      <c r="A18" s="172" t="s">
        <v>481</v>
      </c>
      <c r="B18" s="172" t="s">
        <v>482</v>
      </c>
      <c r="C18" s="257">
        <f>IFERROR(C4/C16,0)</f>
        <v>0</v>
      </c>
      <c r="D18" s="257">
        <f>IFERROR(D4/D16,0)</f>
        <v>0</v>
      </c>
      <c r="E18" s="257">
        <f>IFERROR(E4/E16,0)</f>
        <v>0</v>
      </c>
      <c r="F18" s="257">
        <f>IFERROR(F4/F16,0)</f>
        <v>0</v>
      </c>
      <c r="G18" s="257">
        <f>IFERROR(G4/G16,0)</f>
        <v>0</v>
      </c>
      <c r="H18" s="257">
        <f>G18*(1+H19)</f>
        <v>0</v>
      </c>
      <c r="I18" s="257">
        <f>H18*(1+I19)</f>
        <v>0</v>
      </c>
      <c r="J18" s="282"/>
      <c r="K18" s="282"/>
      <c r="L18" s="282"/>
      <c r="M18" s="282"/>
      <c r="N18" s="282"/>
      <c r="O18" s="282"/>
      <c r="P18" s="282"/>
      <c r="Q18" s="282"/>
      <c r="R18" s="282"/>
      <c r="S18" s="172" t="s">
        <v>483</v>
      </c>
    </row>
    <row r="19" spans="1:19" ht="13.5">
      <c r="A19" s="218" t="s">
        <v>484</v>
      </c>
      <c r="B19" s="218" t="s">
        <v>207</v>
      </c>
      <c r="C19" s="292"/>
      <c r="D19" s="292" t="str">
        <f>IFERROR(D18/C18-1,"")</f>
        <v/>
      </c>
      <c r="E19" s="292" t="str">
        <f>IFERROR(E18/D18-1,"")</f>
        <v/>
      </c>
      <c r="F19" s="292" t="str">
        <f>IFERROR(F18/E18-1,"")</f>
        <v/>
      </c>
      <c r="G19" s="292" t="str">
        <f>IFERROR(G18/F18-1,"")</f>
        <v/>
      </c>
      <c r="H19" s="268"/>
      <c r="I19" s="268"/>
      <c r="J19" s="292"/>
      <c r="K19" s="292"/>
      <c r="L19" s="292"/>
      <c r="M19" s="292"/>
      <c r="N19" s="292"/>
      <c r="O19" s="292"/>
      <c r="P19" s="292"/>
      <c r="Q19" s="292"/>
      <c r="R19" s="292"/>
      <c r="S19" s="172" t="s">
        <v>485</v>
      </c>
    </row>
    <row r="20" spans="1:19" ht="13.5">
      <c r="A20" s="172"/>
      <c r="B20" s="17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172"/>
    </row>
    <row r="21" spans="1:19" ht="13.5">
      <c r="A21" s="270" t="s">
        <v>221</v>
      </c>
      <c r="B21" s="270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70"/>
    </row>
    <row r="22" spans="1:19" ht="13.5">
      <c r="A22" s="172" t="s">
        <v>487</v>
      </c>
      <c r="B22" s="172" t="s">
        <v>207</v>
      </c>
      <c r="C22" s="294"/>
      <c r="D22" s="294"/>
      <c r="E22" s="294"/>
      <c r="F22" s="294"/>
      <c r="G22" s="268">
        <f>F22</f>
        <v>0</v>
      </c>
      <c r="H22" s="268">
        <f>G22</f>
        <v>0</v>
      </c>
      <c r="I22" s="268">
        <f>H22</f>
        <v>0</v>
      </c>
      <c r="J22" s="266"/>
      <c r="K22" s="266"/>
      <c r="L22" s="266"/>
      <c r="M22" s="266"/>
      <c r="N22" s="266"/>
      <c r="O22" s="266"/>
      <c r="P22" s="266"/>
      <c r="Q22" s="266"/>
      <c r="R22" s="266"/>
      <c r="S22" s="172" t="s">
        <v>488</v>
      </c>
    </row>
    <row r="23" spans="1:19" ht="13.5">
      <c r="A23" s="172" t="s">
        <v>489</v>
      </c>
      <c r="B23" s="172" t="s">
        <v>207</v>
      </c>
      <c r="C23" s="294"/>
      <c r="D23" s="294"/>
      <c r="E23" s="294"/>
      <c r="F23" s="294"/>
      <c r="G23" s="268">
        <f>F23</f>
        <v>0</v>
      </c>
      <c r="H23" s="268">
        <f>G23</f>
        <v>0</v>
      </c>
      <c r="I23" s="268">
        <f>H23</f>
        <v>0</v>
      </c>
      <c r="J23" s="266"/>
      <c r="K23" s="266"/>
      <c r="L23" s="266"/>
      <c r="M23" s="266"/>
      <c r="N23" s="266"/>
      <c r="O23" s="266"/>
      <c r="P23" s="266"/>
      <c r="Q23" s="266"/>
      <c r="R23" s="266"/>
      <c r="S23" s="172" t="s">
        <v>488</v>
      </c>
    </row>
    <row r="24" spans="1:19" ht="13.5">
      <c r="A24" s="172" t="s">
        <v>490</v>
      </c>
      <c r="B24" s="172" t="s">
        <v>207</v>
      </c>
      <c r="C24" s="294"/>
      <c r="D24" s="294"/>
      <c r="E24" s="294"/>
      <c r="F24" s="294"/>
      <c r="G24" s="268">
        <f>F24</f>
        <v>0</v>
      </c>
      <c r="H24" s="268">
        <f>G24</f>
        <v>0</v>
      </c>
      <c r="I24" s="268">
        <f>H24</f>
        <v>0</v>
      </c>
      <c r="J24" s="266"/>
      <c r="K24" s="266"/>
      <c r="L24" s="266"/>
      <c r="M24" s="266"/>
      <c r="N24" s="266"/>
      <c r="O24" s="266"/>
      <c r="P24" s="266"/>
      <c r="Q24" s="266"/>
      <c r="R24" s="266"/>
      <c r="S24" s="172" t="s">
        <v>488</v>
      </c>
    </row>
    <row r="25" spans="1:19" ht="13.5">
      <c r="A25" s="172" t="s">
        <v>491</v>
      </c>
      <c r="B25" s="172" t="s">
        <v>207</v>
      </c>
      <c r="C25" s="294"/>
      <c r="D25" s="294"/>
      <c r="E25" s="294"/>
      <c r="F25" s="294"/>
      <c r="G25" s="268">
        <f>F25</f>
        <v>0</v>
      </c>
      <c r="H25" s="268">
        <f>G25</f>
        <v>0</v>
      </c>
      <c r="I25" s="268">
        <f>H25</f>
        <v>0</v>
      </c>
      <c r="J25" s="266"/>
      <c r="K25" s="266"/>
      <c r="L25" s="266"/>
      <c r="M25" s="266"/>
      <c r="N25" s="266"/>
      <c r="O25" s="266"/>
      <c r="P25" s="266"/>
      <c r="Q25" s="266"/>
      <c r="R25" s="266"/>
      <c r="S25" s="172" t="s">
        <v>488</v>
      </c>
    </row>
    <row r="26" spans="1:19" ht="13.5">
      <c r="A26" s="172" t="s">
        <v>492</v>
      </c>
      <c r="B26" s="172" t="s">
        <v>207</v>
      </c>
      <c r="C26" s="266" t="str">
        <f>IFERROR(C33/C12,"")</f>
        <v/>
      </c>
      <c r="D26" s="266" t="str">
        <f>IFERROR(D33/D12,"")</f>
        <v/>
      </c>
      <c r="E26" s="266" t="str">
        <f>IFERROR(E33/E12,"")</f>
        <v/>
      </c>
      <c r="F26" s="266" t="str">
        <f>IFERROR(F33/F12,"")</f>
        <v/>
      </c>
      <c r="G26" s="266" t="str">
        <f>IFERROR(G33/G12,"")</f>
        <v/>
      </c>
      <c r="H26" s="266" t="str">
        <f>IFERROR(H33/H12,"")</f>
        <v/>
      </c>
      <c r="I26" s="266" t="str">
        <f>IFERROR(I33/I12,"")</f>
        <v/>
      </c>
      <c r="J26" s="266"/>
      <c r="K26" s="266" t="str">
        <f>IFERROR(K33/K12,"")</f>
        <v/>
      </c>
      <c r="L26" s="266" t="str">
        <f>IFERROR(L33/L12,"")</f>
        <v/>
      </c>
      <c r="M26" s="266" t="str">
        <f>IFERROR(M33/M12,"")</f>
        <v/>
      </c>
      <c r="N26" s="266" t="str">
        <f>IFERROR(N33/N12,"")</f>
        <v/>
      </c>
      <c r="O26" s="266" t="str">
        <f>IFERROR(O33/O12,"")</f>
        <v/>
      </c>
      <c r="P26" s="266" t="str">
        <f>IFERROR(P33/P12,"")</f>
        <v/>
      </c>
      <c r="Q26" s="266" t="str">
        <f>IFERROR(Q33/Q12,"")</f>
        <v/>
      </c>
      <c r="R26" s="266" t="str">
        <f>IFERROR(R33/R12,"")</f>
        <v/>
      </c>
      <c r="S26" s="172"/>
    </row>
    <row r="27" spans="1:19" ht="13.5">
      <c r="A27" s="172"/>
      <c r="B27" s="17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172"/>
    </row>
    <row r="28" spans="1:19" ht="13.5">
      <c r="A28" s="271" t="s">
        <v>11</v>
      </c>
      <c r="B28" s="271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71"/>
    </row>
    <row r="29" spans="1:19" ht="13.5">
      <c r="A29" s="172" t="s">
        <v>493</v>
      </c>
      <c r="B29" s="172" t="s">
        <v>205</v>
      </c>
      <c r="C29" s="282">
        <f>C4*C22</f>
        <v>0</v>
      </c>
      <c r="D29" s="282">
        <f>D4*D22</f>
        <v>0</v>
      </c>
      <c r="E29" s="282">
        <f>E4*E22</f>
        <v>0</v>
      </c>
      <c r="F29" s="282">
        <f>F4*F22</f>
        <v>0</v>
      </c>
      <c r="G29" s="282">
        <f>G4*G22</f>
        <v>0</v>
      </c>
      <c r="H29" s="282">
        <f>H4*H22</f>
        <v>0</v>
      </c>
      <c r="I29" s="282">
        <f>I4*I22</f>
        <v>0</v>
      </c>
      <c r="J29" s="282"/>
      <c r="K29" s="282"/>
      <c r="L29" s="282"/>
      <c r="M29" s="282"/>
      <c r="N29" s="282"/>
      <c r="O29" s="282"/>
      <c r="P29" s="282"/>
      <c r="Q29" s="282"/>
      <c r="R29" s="282"/>
      <c r="S29" s="172"/>
    </row>
    <row r="30" spans="1:19" ht="13.5">
      <c r="A30" s="172" t="s">
        <v>494</v>
      </c>
      <c r="B30" s="172" t="s">
        <v>205</v>
      </c>
      <c r="C30" s="282">
        <f>C6*C23</f>
        <v>0</v>
      </c>
      <c r="D30" s="282">
        <f>D6*D23</f>
        <v>0</v>
      </c>
      <c r="E30" s="282">
        <f>E6*E23</f>
        <v>0</v>
      </c>
      <c r="F30" s="282">
        <f>F6*F23</f>
        <v>0</v>
      </c>
      <c r="G30" s="282">
        <f>G6*G23</f>
        <v>0</v>
      </c>
      <c r="H30" s="282">
        <f>H6*H23</f>
        <v>0</v>
      </c>
      <c r="I30" s="282">
        <f>I6*I23</f>
        <v>0</v>
      </c>
      <c r="J30" s="282"/>
      <c r="K30" s="282"/>
      <c r="L30" s="282"/>
      <c r="M30" s="282"/>
      <c r="N30" s="282"/>
      <c r="O30" s="282"/>
      <c r="P30" s="282"/>
      <c r="Q30" s="282"/>
      <c r="R30" s="282"/>
      <c r="S30" s="172"/>
    </row>
    <row r="31" spans="1:19" ht="13.5">
      <c r="A31" s="172" t="s">
        <v>495</v>
      </c>
      <c r="B31" s="172" t="s">
        <v>205</v>
      </c>
      <c r="C31" s="282">
        <f>C8*C24</f>
        <v>0</v>
      </c>
      <c r="D31" s="282">
        <f>D8*D24</f>
        <v>0</v>
      </c>
      <c r="E31" s="282">
        <f>E8*E24</f>
        <v>0</v>
      </c>
      <c r="F31" s="282">
        <f>F8*F24</f>
        <v>0</v>
      </c>
      <c r="G31" s="282">
        <f>G8*G24</f>
        <v>0</v>
      </c>
      <c r="H31" s="282">
        <f>H8*H24</f>
        <v>0</v>
      </c>
      <c r="I31" s="282">
        <f>I8*I24</f>
        <v>0</v>
      </c>
      <c r="J31" s="282"/>
      <c r="K31" s="282"/>
      <c r="L31" s="282"/>
      <c r="M31" s="282"/>
      <c r="N31" s="282"/>
      <c r="O31" s="282"/>
      <c r="P31" s="282"/>
      <c r="Q31" s="282"/>
      <c r="R31" s="282"/>
      <c r="S31" s="172"/>
    </row>
    <row r="32" spans="1:19" ht="13.5">
      <c r="A32" s="172" t="s">
        <v>496</v>
      </c>
      <c r="B32" s="172" t="s">
        <v>205</v>
      </c>
      <c r="C32" s="282">
        <f>C10*C25</f>
        <v>0</v>
      </c>
      <c r="D32" s="282">
        <f>D10*D25</f>
        <v>0</v>
      </c>
      <c r="E32" s="282">
        <f>E10*E25</f>
        <v>0</v>
      </c>
      <c r="F32" s="282">
        <f>F10*F25</f>
        <v>0</v>
      </c>
      <c r="G32" s="282">
        <f>G10*G25</f>
        <v>0</v>
      </c>
      <c r="H32" s="282">
        <f>H10*H25</f>
        <v>0</v>
      </c>
      <c r="I32" s="282">
        <f>I10*I25</f>
        <v>0</v>
      </c>
      <c r="J32" s="282"/>
      <c r="K32" s="282"/>
      <c r="L32" s="282"/>
      <c r="M32" s="282"/>
      <c r="N32" s="282"/>
      <c r="O32" s="282"/>
      <c r="P32" s="282"/>
      <c r="Q32" s="282"/>
      <c r="R32" s="282"/>
      <c r="S32" s="172"/>
    </row>
    <row r="33" spans="1:19" ht="13.5">
      <c r="A33" s="171" t="s">
        <v>497</v>
      </c>
      <c r="B33" s="171" t="s">
        <v>205</v>
      </c>
      <c r="C33" s="287">
        <f>'3S'!D7/100000</f>
        <v>0</v>
      </c>
      <c r="D33" s="287">
        <f>'3S'!E7/100000</f>
        <v>0</v>
      </c>
      <c r="E33" s="287">
        <f>'3S'!F7/100000</f>
        <v>0</v>
      </c>
      <c r="F33" s="287">
        <f>'3S'!G7/100000</f>
        <v>0</v>
      </c>
      <c r="G33" s="287">
        <f>SUM(G29:G32)</f>
        <v>0</v>
      </c>
      <c r="H33" s="287">
        <f>SUM(H29:H32)</f>
        <v>0</v>
      </c>
      <c r="I33" s="287">
        <f>SUM(I29:I32)</f>
        <v>0</v>
      </c>
      <c r="J33" s="287"/>
      <c r="K33" s="287">
        <f>'3S'!L7/100000</f>
        <v>0</v>
      </c>
      <c r="L33" s="287">
        <f>'3S'!M7/100000</f>
        <v>0</v>
      </c>
      <c r="M33" s="287">
        <f>'3S'!N7/100000</f>
        <v>0</v>
      </c>
      <c r="N33" s="287">
        <f>'3S'!O7/100000</f>
        <v>0</v>
      </c>
      <c r="O33" s="287">
        <f>'3S'!P7/100000</f>
        <v>0</v>
      </c>
      <c r="P33" s="287">
        <f>'3S'!Q7/100000</f>
        <v>0</v>
      </c>
      <c r="Q33" s="287">
        <f>'3S'!R7/100000</f>
        <v>0</v>
      </c>
      <c r="R33" s="287">
        <f>G33-SUM(O33:Q33)</f>
        <v>0</v>
      </c>
      <c r="S33" s="171" t="s">
        <v>498</v>
      </c>
    </row>
    <row r="34" spans="1:19" ht="13.5">
      <c r="A34" s="218" t="s">
        <v>499</v>
      </c>
      <c r="B34" s="218" t="s">
        <v>205</v>
      </c>
      <c r="C34" s="285">
        <f>C33-SUM(C29:C32)</f>
        <v>0</v>
      </c>
      <c r="D34" s="285">
        <f>D33-SUM(D29:D32)</f>
        <v>0</v>
      </c>
      <c r="E34" s="285">
        <f>E33-SUM(E29:E32)</f>
        <v>0</v>
      </c>
      <c r="F34" s="285">
        <f>F33-SUM(F29:F32)</f>
        <v>0</v>
      </c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172" t="s">
        <v>500</v>
      </c>
    </row>
    <row r="35" spans="1:19" ht="13.5">
      <c r="A35" s="172" t="s">
        <v>458</v>
      </c>
      <c r="B35" s="172" t="s">
        <v>205</v>
      </c>
      <c r="C35" s="282">
        <f>C12-C33</f>
        <v>0</v>
      </c>
      <c r="D35" s="282">
        <f>D12-D33</f>
        <v>0</v>
      </c>
      <c r="E35" s="282">
        <f>E12-E33</f>
        <v>0</v>
      </c>
      <c r="F35" s="282">
        <f>F12-F33</f>
        <v>0</v>
      </c>
      <c r="G35" s="282">
        <f>G12-G33</f>
        <v>0</v>
      </c>
      <c r="H35" s="282">
        <f>H12-H33</f>
        <v>0</v>
      </c>
      <c r="I35" s="282">
        <f>I12-I33</f>
        <v>0</v>
      </c>
      <c r="J35" s="282"/>
      <c r="K35" s="282">
        <f>K12-K33</f>
        <v>0</v>
      </c>
      <c r="L35" s="282">
        <f>L12-L33</f>
        <v>0</v>
      </c>
      <c r="M35" s="282">
        <f>M12-M33</f>
        <v>0</v>
      </c>
      <c r="N35" s="282">
        <f>N12-N33</f>
        <v>0</v>
      </c>
      <c r="O35" s="282">
        <f>O12-O33</f>
        <v>0</v>
      </c>
      <c r="P35" s="282">
        <f>P12-P33</f>
        <v>0</v>
      </c>
      <c r="Q35" s="282">
        <f>Q12-Q33</f>
        <v>0</v>
      </c>
      <c r="R35" s="282">
        <f>R12-R33</f>
        <v>0</v>
      </c>
      <c r="S35" s="172" t="s">
        <v>501</v>
      </c>
    </row>
    <row r="36" spans="1:19" ht="13.5">
      <c r="A36" s="172"/>
      <c r="B36" s="17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172"/>
    </row>
    <row r="37" spans="1:19" ht="13.5">
      <c r="A37" s="272" t="s">
        <v>502</v>
      </c>
      <c r="B37" s="272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72"/>
    </row>
    <row r="38" spans="1:19" ht="13.5">
      <c r="A38" s="172" t="s">
        <v>417</v>
      </c>
      <c r="B38" s="172" t="s">
        <v>205</v>
      </c>
      <c r="C38" s="282">
        <f>-('3S'!D10+'3S'!D12+'3S'!D14+'3S'!D16)/100000</f>
        <v>0</v>
      </c>
      <c r="D38" s="282">
        <f>-('3S'!E10+'3S'!E12+'3S'!E14+'3S'!E16)/100000</f>
        <v>0</v>
      </c>
      <c r="E38" s="282">
        <f>-('3S'!F10+'3S'!F12+'3S'!F14+'3S'!F16)/100000</f>
        <v>0</v>
      </c>
      <c r="F38" s="282">
        <f>-('3S'!G10+'3S'!G12+'3S'!G14+'3S'!G16)/100000</f>
        <v>0</v>
      </c>
      <c r="G38" s="282" t="e">
        <f>-('3S'!H10+'3S'!H12+'3S'!H14+'3S'!H16)/100000</f>
        <v>#DIV/0!</v>
      </c>
      <c r="H38" s="282" t="e">
        <f>-('3S'!I10+'3S'!I12+'3S'!I14+'3S'!I16)/100000</f>
        <v>#DIV/0!</v>
      </c>
      <c r="I38" s="282" t="e">
        <f>-('3S'!J10+'3S'!J12+'3S'!J14+'3S'!J16)/100000</f>
        <v>#DIV/0!</v>
      </c>
      <c r="J38" s="282"/>
      <c r="K38" s="282">
        <f>-('3S'!L10+'3S'!L12+'3S'!L14+'3S'!L16)/100000</f>
        <v>0</v>
      </c>
      <c r="L38" s="282">
        <f>-('3S'!M10+'3S'!M12+'3S'!M14+'3S'!M16)/100000</f>
        <v>0</v>
      </c>
      <c r="M38" s="282">
        <f>-('3S'!N10+'3S'!N12+'3S'!N14+'3S'!N16)/100000</f>
        <v>0</v>
      </c>
      <c r="N38" s="282">
        <f>-('3S'!O10+'3S'!O12+'3S'!O14+'3S'!O16)/100000</f>
        <v>0</v>
      </c>
      <c r="O38" s="282">
        <f>-('3S'!P10+'3S'!P12+'3S'!P14+'3S'!P16)/100000</f>
        <v>0</v>
      </c>
      <c r="P38" s="282">
        <f>-('3S'!Q10+'3S'!Q12+'3S'!Q14+'3S'!Q16)/100000</f>
        <v>0</v>
      </c>
      <c r="Q38" s="282">
        <f>-('3S'!R10+'3S'!R12+'3S'!R14+'3S'!R16)/100000</f>
        <v>0</v>
      </c>
      <c r="R38" s="282" t="e">
        <f>-('3S'!S10+'3S'!S12+'3S'!S14+'3S'!S16)/100000</f>
        <v>#DIV/0!</v>
      </c>
      <c r="S38" s="172" t="s">
        <v>503</v>
      </c>
    </row>
    <row r="39" spans="1:19" ht="13.5">
      <c r="A39" s="218" t="s">
        <v>418</v>
      </c>
      <c r="B39" s="218" t="s">
        <v>207</v>
      </c>
      <c r="C39" s="292" t="str">
        <f>IFERROR(C38/C12,"")</f>
        <v/>
      </c>
      <c r="D39" s="292" t="str">
        <f>IFERROR(D38/D12,"")</f>
        <v/>
      </c>
      <c r="E39" s="292" t="str">
        <f>IFERROR(E38/E12,"")</f>
        <v/>
      </c>
      <c r="F39" s="292" t="str">
        <f>IFERROR(F38/F12,"")</f>
        <v/>
      </c>
      <c r="G39" s="292" t="str">
        <f>IFERROR(G38/G12,"")</f>
        <v/>
      </c>
      <c r="H39" s="292" t="str">
        <f>IFERROR(H38/H12,"")</f>
        <v/>
      </c>
      <c r="I39" s="292" t="str">
        <f>IFERROR(I38/I12,"")</f>
        <v/>
      </c>
      <c r="J39" s="292"/>
      <c r="K39" s="292" t="str">
        <f>IFERROR(K38/K12,"")</f>
        <v/>
      </c>
      <c r="L39" s="292" t="str">
        <f>IFERROR(L38/L12,"")</f>
        <v/>
      </c>
      <c r="M39" s="292" t="str">
        <f>IFERROR(M38/M12,"")</f>
        <v/>
      </c>
      <c r="N39" s="292" t="str">
        <f>IFERROR(N38/N12,"")</f>
        <v/>
      </c>
      <c r="O39" s="292" t="str">
        <f>IFERROR(O38/O12,"")</f>
        <v/>
      </c>
      <c r="P39" s="292" t="str">
        <f>IFERROR(P38/P12,"")</f>
        <v/>
      </c>
      <c r="Q39" s="292" t="str">
        <f>IFERROR(Q38/Q12,"")</f>
        <v/>
      </c>
      <c r="R39" s="292" t="str">
        <f>IFERROR(R38/R12,"")</f>
        <v/>
      </c>
      <c r="S39" s="172"/>
    </row>
    <row r="40" spans="1:19" ht="13.5">
      <c r="A40" s="172" t="s">
        <v>379</v>
      </c>
      <c r="B40" s="172" t="s">
        <v>205</v>
      </c>
      <c r="C40" s="282">
        <f>'3S'!D37/100000</f>
        <v>0</v>
      </c>
      <c r="D40" s="282">
        <f>'3S'!E37/100000</f>
        <v>0</v>
      </c>
      <c r="E40" s="282">
        <f>'3S'!F37/100000</f>
        <v>0</v>
      </c>
      <c r="F40" s="282">
        <f>'3S'!G37/100000</f>
        <v>0</v>
      </c>
      <c r="G40" s="282" t="e">
        <f>'3S'!H37/100000</f>
        <v>#DIV/0!</v>
      </c>
      <c r="H40" s="282" t="e">
        <f>'3S'!I37/100000</f>
        <v>#DIV/0!</v>
      </c>
      <c r="I40" s="282" t="e">
        <f>'3S'!J37/100000</f>
        <v>#DIV/0!</v>
      </c>
      <c r="J40" s="282"/>
      <c r="K40" s="282">
        <f>'3S'!L37/100000</f>
        <v>0</v>
      </c>
      <c r="L40" s="282">
        <f>'3S'!M37/100000</f>
        <v>0</v>
      </c>
      <c r="M40" s="282">
        <f>'3S'!N37/100000</f>
        <v>0</v>
      </c>
      <c r="N40" s="282">
        <f>'3S'!O37/100000</f>
        <v>0</v>
      </c>
      <c r="O40" s="282">
        <f>'3S'!P37/100000</f>
        <v>0</v>
      </c>
      <c r="P40" s="282">
        <f>'3S'!Q37/100000</f>
        <v>0</v>
      </c>
      <c r="Q40" s="282">
        <f>'3S'!R37/100000</f>
        <v>0</v>
      </c>
      <c r="R40" s="282" t="e">
        <f>'3S'!S37/100000</f>
        <v>#DIV/0!</v>
      </c>
      <c r="S40" s="172" t="s">
        <v>503</v>
      </c>
    </row>
    <row r="41" spans="1:19" ht="13.5">
      <c r="A41" s="218" t="s">
        <v>459</v>
      </c>
      <c r="B41" s="218" t="s">
        <v>207</v>
      </c>
      <c r="C41" s="292"/>
      <c r="D41" s="292" t="str">
        <f>IFERROR(D40/C40-1,"")</f>
        <v/>
      </c>
      <c r="E41" s="292" t="str">
        <f>IFERROR(E40/D40-1,"")</f>
        <v/>
      </c>
      <c r="F41" s="292" t="str">
        <f>IFERROR(F40/E40-1,"")</f>
        <v/>
      </c>
      <c r="G41" s="292" t="str">
        <f>IFERROR(G40/F40-1,"")</f>
        <v/>
      </c>
      <c r="H41" s="292" t="str">
        <f>IFERROR(H40/G40-1,"")</f>
        <v/>
      </c>
      <c r="I41" s="292" t="str">
        <f>IFERROR(I40/H40-1,"")</f>
        <v/>
      </c>
      <c r="J41" s="292"/>
      <c r="K41" s="292"/>
      <c r="L41" s="292"/>
      <c r="M41" s="292"/>
      <c r="N41" s="292"/>
      <c r="O41" s="292"/>
      <c r="P41" s="292"/>
      <c r="Q41" s="292"/>
      <c r="R41" s="292"/>
      <c r="S41" s="172"/>
    </row>
    <row r="42" spans="1:19" ht="13.5">
      <c r="A42" s="218" t="s">
        <v>504</v>
      </c>
      <c r="B42" s="218" t="s">
        <v>205</v>
      </c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172" t="s">
        <v>505</v>
      </c>
    </row>
    <row r="43" spans="1:19" ht="13.5">
      <c r="A43" s="218" t="s">
        <v>506</v>
      </c>
      <c r="B43" s="218" t="s">
        <v>205</v>
      </c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172" t="s">
        <v>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38A7-4E2D-4FAF-BE9A-3A4CDAE32088}">
  <dimension ref="A1:P2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5"/>
  <cols>
    <col min="1" max="1" width="30.6328125" customWidth="1"/>
    <col min="2" max="2" width="6.6328125" customWidth="1"/>
    <col min="3" max="5" width="10.6328125" customWidth="1"/>
    <col min="6" max="6" width="2.6328125" customWidth="1"/>
    <col min="7" max="13" width="10.6328125" customWidth="1"/>
    <col min="14" max="14" width="2.6328125" customWidth="1"/>
    <col min="15" max="17" width="10.6328125" customWidth="1"/>
    <col min="18" max="18" width="2.6328125" customWidth="1"/>
    <col min="19" max="20" width="10.6328125" customWidth="1"/>
    <col min="21" max="21" width="2.6328125" customWidth="1"/>
    <col min="22" max="22" width="40.6328125" customWidth="1"/>
  </cols>
  <sheetData>
    <row r="1" spans="1:16" ht="13">
      <c r="A1" s="217" t="s">
        <v>508</v>
      </c>
      <c r="B1" s="217" t="s">
        <v>179</v>
      </c>
      <c r="C1" s="217">
        <v>2023</v>
      </c>
      <c r="D1" s="217">
        <v>2024</v>
      </c>
      <c r="E1" s="217">
        <v>2025</v>
      </c>
      <c r="F1" s="217"/>
      <c r="G1" s="217" t="s">
        <v>188</v>
      </c>
      <c r="H1" s="217" t="s">
        <v>361</v>
      </c>
      <c r="I1" s="217" t="s">
        <v>362</v>
      </c>
      <c r="J1" s="217" t="s">
        <v>363</v>
      </c>
      <c r="K1" s="217" t="s">
        <v>187</v>
      </c>
      <c r="L1" s="217" t="s">
        <v>208</v>
      </c>
      <c r="M1" s="217" t="s">
        <v>209</v>
      </c>
      <c r="N1" s="217"/>
      <c r="O1" s="217" t="s">
        <v>366</v>
      </c>
      <c r="P1" s="217" t="s">
        <v>367</v>
      </c>
    </row>
    <row r="2" spans="1:16" ht="13.5">
      <c r="A2" s="172"/>
      <c r="B2" s="172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</row>
    <row r="3" spans="1:16" ht="13.5">
      <c r="A3" s="218" t="s">
        <v>509</v>
      </c>
      <c r="B3" s="172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</row>
    <row r="4" spans="1:16" ht="13.5">
      <c r="A4" s="172"/>
      <c r="B4" s="172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</row>
    <row r="5" spans="1:16" ht="13.5">
      <c r="A5" s="267" t="s">
        <v>510</v>
      </c>
      <c r="B5" s="267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</row>
    <row r="6" spans="1:16" ht="13.5">
      <c r="A6" s="172" t="s">
        <v>368</v>
      </c>
      <c r="B6" s="172" t="s">
        <v>369</v>
      </c>
      <c r="C6" s="296"/>
      <c r="D6" s="296"/>
      <c r="E6" s="296"/>
      <c r="F6" s="297"/>
      <c r="G6" s="296"/>
      <c r="H6" s="296"/>
      <c r="I6" s="296"/>
      <c r="J6" s="296"/>
      <c r="K6" s="296"/>
      <c r="L6" s="296"/>
      <c r="M6" s="296"/>
      <c r="N6" s="297"/>
      <c r="O6" s="298">
        <f>SUM(G6:I6)</f>
        <v>0</v>
      </c>
      <c r="P6" s="298">
        <f>SUM(K6:M6)</f>
        <v>0</v>
      </c>
    </row>
    <row r="7" spans="1:16" ht="13.5">
      <c r="A7" s="172" t="s">
        <v>370</v>
      </c>
      <c r="B7" s="172" t="s">
        <v>207</v>
      </c>
      <c r="C7" s="292"/>
      <c r="D7" s="292" t="str">
        <f>IFERROR(D6/C6-1,"")</f>
        <v/>
      </c>
      <c r="E7" s="292" t="str">
        <f>IFERROR(E6/D6-1,"")</f>
        <v/>
      </c>
      <c r="F7" s="266"/>
      <c r="G7" s="292"/>
      <c r="H7" s="292"/>
      <c r="I7" s="292"/>
      <c r="J7" s="292"/>
      <c r="K7" s="292" t="str">
        <f>IFERROR(K6/G6-1,"")</f>
        <v/>
      </c>
      <c r="L7" s="292" t="str">
        <f>IFERROR(L6/H6-1,"")</f>
        <v/>
      </c>
      <c r="M7" s="292" t="str">
        <f>IFERROR(M6/I6-1,"")</f>
        <v/>
      </c>
      <c r="N7" s="266"/>
      <c r="O7" s="292"/>
      <c r="P7" s="292" t="str">
        <f>IFERROR(P6/O6-1,"")</f>
        <v/>
      </c>
    </row>
    <row r="8" spans="1:16" ht="13.5">
      <c r="A8" s="172" t="s">
        <v>371</v>
      </c>
      <c r="B8" s="172" t="s">
        <v>369</v>
      </c>
      <c r="C8" s="296"/>
      <c r="D8" s="296"/>
      <c r="E8" s="296"/>
      <c r="F8" s="297"/>
      <c r="G8" s="296"/>
      <c r="H8" s="296"/>
      <c r="I8" s="296"/>
      <c r="J8" s="296"/>
      <c r="K8" s="296"/>
      <c r="L8" s="296"/>
      <c r="M8" s="296"/>
      <c r="N8" s="297"/>
      <c r="O8" s="298">
        <f>SUM(G8:I8)</f>
        <v>0</v>
      </c>
      <c r="P8" s="298">
        <f>SUM(K8:M8)</f>
        <v>0</v>
      </c>
    </row>
    <row r="9" spans="1:16" ht="13.5">
      <c r="A9" s="172" t="s">
        <v>370</v>
      </c>
      <c r="B9" s="172" t="s">
        <v>207</v>
      </c>
      <c r="C9" s="292"/>
      <c r="D9" s="292" t="str">
        <f>IFERROR(D8/C8-1,"")</f>
        <v/>
      </c>
      <c r="E9" s="292" t="str">
        <f>IFERROR(E8/D8-1,"")</f>
        <v/>
      </c>
      <c r="F9" s="266"/>
      <c r="G9" s="292"/>
      <c r="H9" s="292"/>
      <c r="I9" s="292"/>
      <c r="J9" s="292"/>
      <c r="K9" s="292" t="str">
        <f>IFERROR(K8/G8-1,"")</f>
        <v/>
      </c>
      <c r="L9" s="292" t="str">
        <f>IFERROR(L8/H8-1,"")</f>
        <v/>
      </c>
      <c r="M9" s="292" t="str">
        <f>IFERROR(M8/I8-1,"")</f>
        <v/>
      </c>
      <c r="N9" s="266"/>
      <c r="O9" s="292"/>
      <c r="P9" s="292" t="str">
        <f>IFERROR(P8/O8-1,"")</f>
        <v/>
      </c>
    </row>
    <row r="10" spans="1:16" ht="13.5">
      <c r="A10" s="172" t="s">
        <v>372</v>
      </c>
      <c r="B10" s="172" t="s">
        <v>369</v>
      </c>
      <c r="C10" s="297" t="str">
        <f>IF(C6="","",C6-C8)</f>
        <v/>
      </c>
      <c r="D10" s="297" t="str">
        <f>IF(D6="","",D6-D8)</f>
        <v/>
      </c>
      <c r="E10" s="297" t="str">
        <f>IF(E6="","",E6-E8)</f>
        <v/>
      </c>
      <c r="F10" s="297"/>
      <c r="G10" s="297" t="str">
        <f>IF(G6="","",G6-G8)</f>
        <v/>
      </c>
      <c r="H10" s="297" t="str">
        <f>IF(H6="","",H6-H8)</f>
        <v/>
      </c>
      <c r="I10" s="297" t="str">
        <f>IF(I6="","",I6-I8)</f>
        <v/>
      </c>
      <c r="J10" s="297" t="str">
        <f>IF(J6="","",J6-J8)</f>
        <v/>
      </c>
      <c r="K10" s="297" t="str">
        <f>IF(K6="","",K6-K8)</f>
        <v/>
      </c>
      <c r="L10" s="297" t="str">
        <f>IF(L6="","",L6-L8)</f>
        <v/>
      </c>
      <c r="M10" s="297" t="str">
        <f>IF(M6="","",M6-M8)</f>
        <v/>
      </c>
      <c r="N10" s="297"/>
      <c r="O10" s="297">
        <f>IF(O6="","",O6-O8)</f>
        <v>0</v>
      </c>
      <c r="P10" s="297">
        <f>IF(P6="","",P6-P8)</f>
        <v>0</v>
      </c>
    </row>
    <row r="11" spans="1:16" ht="13.5">
      <c r="A11" s="172" t="s">
        <v>373</v>
      </c>
      <c r="B11" s="172" t="s">
        <v>207</v>
      </c>
      <c r="C11" s="292" t="str">
        <f>IFERROR(C8/C6,"")</f>
        <v/>
      </c>
      <c r="D11" s="292" t="str">
        <f>IFERROR(D8/D6,"")</f>
        <v/>
      </c>
      <c r="E11" s="292" t="str">
        <f>IFERROR(E8/E6,"")</f>
        <v/>
      </c>
      <c r="F11" s="266"/>
      <c r="G11" s="292" t="str">
        <f>IFERROR(G8/G6,"")</f>
        <v/>
      </c>
      <c r="H11" s="292" t="str">
        <f>IFERROR(H8/H6,"")</f>
        <v/>
      </c>
      <c r="I11" s="292" t="str">
        <f>IFERROR(I8/I6,"")</f>
        <v/>
      </c>
      <c r="J11" s="292" t="str">
        <f>IFERROR(J8/J6,"")</f>
        <v/>
      </c>
      <c r="K11" s="292" t="str">
        <f>IFERROR(K8/K6,"")</f>
        <v/>
      </c>
      <c r="L11" s="292" t="str">
        <f>IFERROR(L8/L6,"")</f>
        <v/>
      </c>
      <c r="M11" s="292" t="str">
        <f>IFERROR(M8/M6,"")</f>
        <v/>
      </c>
      <c r="N11" s="266"/>
      <c r="O11" s="292" t="str">
        <f>IFERROR(O8/O6,"")</f>
        <v/>
      </c>
      <c r="P11" s="292" t="str">
        <f>IFERROR(P8/P6,"")</f>
        <v/>
      </c>
    </row>
    <row r="12" spans="1:16" ht="13.5">
      <c r="A12" s="172"/>
      <c r="B12" s="172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</row>
    <row r="13" spans="1:16" ht="13.5">
      <c r="A13" s="267" t="s">
        <v>511</v>
      </c>
      <c r="B13" s="267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</row>
    <row r="14" spans="1:16" ht="13.5">
      <c r="A14" s="172" t="s">
        <v>512</v>
      </c>
      <c r="B14" s="172" t="s">
        <v>369</v>
      </c>
      <c r="C14" s="296"/>
      <c r="D14" s="296"/>
      <c r="E14" s="296"/>
      <c r="F14" s="297"/>
      <c r="G14" s="296"/>
      <c r="H14" s="296"/>
      <c r="I14" s="296"/>
      <c r="J14" s="296"/>
      <c r="K14" s="296"/>
      <c r="L14" s="296"/>
      <c r="M14" s="296"/>
      <c r="N14" s="297"/>
      <c r="O14" s="298">
        <f>SUM(G14:I14)</f>
        <v>0</v>
      </c>
      <c r="P14" s="298">
        <f>SUM(K14:M14)</f>
        <v>0</v>
      </c>
    </row>
    <row r="15" spans="1:16" ht="13.5">
      <c r="A15" s="172" t="s">
        <v>370</v>
      </c>
      <c r="B15" s="172" t="s">
        <v>207</v>
      </c>
      <c r="C15" s="292"/>
      <c r="D15" s="292" t="str">
        <f>IFERROR(D14/C14-1,"")</f>
        <v/>
      </c>
      <c r="E15" s="292" t="str">
        <f>IFERROR(E14/D14-1,"")</f>
        <v/>
      </c>
      <c r="F15" s="266"/>
      <c r="G15" s="292"/>
      <c r="H15" s="292"/>
      <c r="I15" s="292"/>
      <c r="J15" s="292"/>
      <c r="K15" s="292" t="str">
        <f>IFERROR(K14/G14-1,"")</f>
        <v/>
      </c>
      <c r="L15" s="292" t="str">
        <f>IFERROR(L14/H14-1,"")</f>
        <v/>
      </c>
      <c r="M15" s="292" t="str">
        <f>IFERROR(M14/I14-1,"")</f>
        <v/>
      </c>
      <c r="N15" s="266"/>
      <c r="O15" s="292"/>
      <c r="P15" s="292" t="str">
        <f>IFERROR(P14/O14-1,"")</f>
        <v/>
      </c>
    </row>
    <row r="16" spans="1:16" ht="13.5">
      <c r="A16" s="172" t="s">
        <v>513</v>
      </c>
      <c r="B16" s="172" t="s">
        <v>207</v>
      </c>
      <c r="C16" s="292" t="str">
        <f>IFERROR(C6/C14,"")</f>
        <v/>
      </c>
      <c r="D16" s="292" t="str">
        <f>IFERROR(D6/D14,"")</f>
        <v/>
      </c>
      <c r="E16" s="292" t="str">
        <f>IFERROR(E6/E14,"")</f>
        <v/>
      </c>
      <c r="F16" s="266"/>
      <c r="G16" s="292" t="str">
        <f>IFERROR(G6/G14,"")</f>
        <v/>
      </c>
      <c r="H16" s="292" t="str">
        <f>IFERROR(H6/H14,"")</f>
        <v/>
      </c>
      <c r="I16" s="292" t="str">
        <f>IFERROR(I6/I14,"")</f>
        <v/>
      </c>
      <c r="J16" s="292" t="str">
        <f>IFERROR(J6/J14,"")</f>
        <v/>
      </c>
      <c r="K16" s="292" t="str">
        <f>IFERROR(K6/K14,"")</f>
        <v/>
      </c>
      <c r="L16" s="292" t="str">
        <f>IFERROR(L6/L14,"")</f>
        <v/>
      </c>
      <c r="M16" s="292" t="str">
        <f>IFERROR(M6/M14,"")</f>
        <v/>
      </c>
      <c r="N16" s="266"/>
      <c r="O16" s="292" t="str">
        <f>IFERROR(O6/O14,"")</f>
        <v/>
      </c>
      <c r="P16" s="292" t="str">
        <f>IFERROR(P6/P14,"")</f>
        <v/>
      </c>
    </row>
    <row r="17" spans="1:16" ht="13.5">
      <c r="A17" s="172"/>
      <c r="B17" s="172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</row>
    <row r="18" spans="1:16" ht="13.5">
      <c r="A18" s="172"/>
      <c r="B18" s="172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</row>
    <row r="19" spans="1:16" ht="13.5">
      <c r="A19" s="172"/>
      <c r="B19" s="172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</row>
    <row r="20" spans="1:16" ht="13.5">
      <c r="A20" s="172"/>
      <c r="B20" s="172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4CF3-E4F5-49DF-A8BC-F81E47C0B9A7}">
  <dimension ref="B2:C38"/>
  <sheetViews>
    <sheetView showGridLines="0" workbookViewId="0"/>
  </sheetViews>
  <sheetFormatPr defaultRowHeight="13"/>
  <cols>
    <col min="1" max="1" width="2.6328125" style="172" customWidth="1"/>
    <col min="2" max="2" width="95.6328125" style="172" customWidth="1"/>
    <col min="3" max="3" width="22.6328125" style="172" customWidth="1"/>
    <col min="4" max="16384" width="8.7265625" style="172"/>
  </cols>
  <sheetData>
    <row r="2" spans="2:3" ht="15">
      <c r="B2" s="220" t="s">
        <v>514</v>
      </c>
    </row>
    <row r="3" spans="2:3">
      <c r="B3" s="218" t="s">
        <v>515</v>
      </c>
    </row>
    <row r="4" spans="2:3">
      <c r="C4" s="218" t="s">
        <v>374</v>
      </c>
    </row>
    <row r="5" spans="2:3">
      <c r="B5" s="171" t="s">
        <v>516</v>
      </c>
    </row>
    <row r="6" spans="2:3">
      <c r="B6" s="172" t="s">
        <v>517</v>
      </c>
      <c r="C6" s="218" t="s">
        <v>518</v>
      </c>
    </row>
    <row r="7" spans="2:3">
      <c r="C7" s="218"/>
    </row>
    <row r="8" spans="2:3">
      <c r="C8" s="218"/>
    </row>
    <row r="9" spans="2:3">
      <c r="C9" s="218"/>
    </row>
    <row r="11" spans="2:3">
      <c r="B11" s="171"/>
    </row>
    <row r="12" spans="2:3">
      <c r="C12" s="218"/>
    </row>
    <row r="13" spans="2:3">
      <c r="C13" s="218"/>
    </row>
    <row r="14" spans="2:3">
      <c r="C14" s="218"/>
    </row>
    <row r="16" spans="2:3">
      <c r="B16" s="171"/>
    </row>
    <row r="17" spans="2:3">
      <c r="C17" s="218"/>
    </row>
    <row r="18" spans="2:3">
      <c r="C18" s="218"/>
    </row>
    <row r="19" spans="2:3">
      <c r="C19" s="218"/>
    </row>
    <row r="20" spans="2:3">
      <c r="C20" s="218"/>
    </row>
    <row r="22" spans="2:3">
      <c r="B22" s="171"/>
    </row>
    <row r="23" spans="2:3">
      <c r="C23" s="218"/>
    </row>
    <row r="24" spans="2:3">
      <c r="C24" s="218"/>
    </row>
    <row r="25" spans="2:3">
      <c r="C25" s="218"/>
    </row>
    <row r="27" spans="2:3">
      <c r="B27" s="171"/>
    </row>
    <row r="28" spans="2:3">
      <c r="C28" s="218"/>
    </row>
    <row r="29" spans="2:3">
      <c r="C29" s="218"/>
    </row>
    <row r="30" spans="2:3">
      <c r="C30" s="218"/>
    </row>
    <row r="31" spans="2:3">
      <c r="C31" s="218"/>
    </row>
    <row r="32" spans="2:3">
      <c r="C32" s="218"/>
    </row>
    <row r="34" spans="2:3">
      <c r="B34" s="171"/>
    </row>
    <row r="35" spans="2:3">
      <c r="C35" s="218"/>
    </row>
    <row r="37" spans="2:3">
      <c r="B37" s="171"/>
    </row>
    <row r="38" spans="2:3">
      <c r="C38" s="2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49F6-AD90-4BF9-9622-B05FD9D09F8E}">
  <dimension ref="A1:F9"/>
  <sheetViews>
    <sheetView showGridLines="0" zoomScale="80" zoomScaleNormal="80" workbookViewId="0"/>
  </sheetViews>
  <sheetFormatPr defaultRowHeight="13"/>
  <cols>
    <col min="1" max="1" width="4.6328125" style="172" customWidth="1"/>
    <col min="2" max="2" width="10.6328125" style="172" customWidth="1"/>
    <col min="3" max="3" width="42.6328125" style="172" customWidth="1"/>
    <col min="4" max="4" width="48.6328125" style="172" customWidth="1"/>
    <col min="5" max="5" width="58.6328125" style="172" customWidth="1"/>
    <col min="6" max="6" width="24.6328125" style="172" customWidth="1"/>
    <col min="7" max="8" width="10.1796875" style="172" bestFit="1" customWidth="1"/>
    <col min="9" max="9" width="12.1796875" style="172" bestFit="1" customWidth="1"/>
    <col min="10" max="14" width="8.7265625" style="172"/>
    <col min="15" max="15" width="12.1796875" style="172" bestFit="1" customWidth="1"/>
    <col min="16" max="16384" width="8.7265625" style="172"/>
  </cols>
  <sheetData>
    <row r="1" spans="1:6" ht="15">
      <c r="A1" s="220" t="s">
        <v>519</v>
      </c>
    </row>
    <row r="2" spans="1:6">
      <c r="A2" s="218" t="s">
        <v>520</v>
      </c>
    </row>
    <row r="4" spans="1:6" ht="18" customHeight="1">
      <c r="A4" s="234" t="s">
        <v>380</v>
      </c>
      <c r="B4" s="234" t="s">
        <v>381</v>
      </c>
      <c r="C4" s="234" t="s">
        <v>382</v>
      </c>
      <c r="D4" s="234" t="s">
        <v>383</v>
      </c>
      <c r="E4" s="234" t="s">
        <v>384</v>
      </c>
      <c r="F4" s="234" t="s">
        <v>385</v>
      </c>
    </row>
    <row r="5" spans="1:6" ht="78" customHeight="1">
      <c r="A5" s="238">
        <v>1</v>
      </c>
      <c r="B5" s="237"/>
      <c r="C5" s="236" t="s">
        <v>521</v>
      </c>
      <c r="D5" s="236" t="s">
        <v>522</v>
      </c>
      <c r="E5" s="236" t="s">
        <v>523</v>
      </c>
      <c r="F5" s="236"/>
    </row>
    <row r="6" spans="1:6" ht="78" customHeight="1">
      <c r="A6" s="240">
        <v>2</v>
      </c>
      <c r="B6" s="239"/>
      <c r="C6" s="235"/>
      <c r="D6" s="235"/>
      <c r="E6" s="235"/>
      <c r="F6" s="235"/>
    </row>
    <row r="7" spans="1:6" ht="78" customHeight="1">
      <c r="A7" s="238">
        <v>3</v>
      </c>
      <c r="B7" s="237"/>
      <c r="C7" s="236"/>
      <c r="D7" s="236"/>
      <c r="E7" s="236"/>
      <c r="F7" s="236"/>
    </row>
    <row r="8" spans="1:6" ht="78" customHeight="1">
      <c r="A8" s="240">
        <v>4</v>
      </c>
      <c r="B8" s="239"/>
      <c r="C8" s="235"/>
      <c r="D8" s="235"/>
      <c r="E8" s="235"/>
      <c r="F8" s="235"/>
    </row>
    <row r="9" spans="1:6" ht="78" customHeight="1">
      <c r="A9" s="238">
        <v>5</v>
      </c>
      <c r="B9" s="237"/>
      <c r="C9" s="236"/>
      <c r="D9" s="236"/>
      <c r="E9" s="236"/>
      <c r="F9" s="2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F8A8-32A5-4D1C-9192-803091942191}">
  <dimension ref="B1:D74"/>
  <sheetViews>
    <sheetView showGridLines="0" workbookViewId="0"/>
  </sheetViews>
  <sheetFormatPr defaultRowHeight="13"/>
  <cols>
    <col min="1" max="1" width="2.6328125" style="172" customWidth="1"/>
    <col min="2" max="2" width="36.6328125" style="172" customWidth="1"/>
    <col min="3" max="3" width="11.6328125" style="172" customWidth="1"/>
    <col min="4" max="4" width="75.6328125" style="172" customWidth="1"/>
    <col min="5" max="16384" width="8.7265625" style="172"/>
  </cols>
  <sheetData>
    <row r="1" spans="2:4" ht="15">
      <c r="B1" s="220" t="s">
        <v>524</v>
      </c>
    </row>
    <row r="2" spans="2:4">
      <c r="B2" s="218" t="s">
        <v>525</v>
      </c>
    </row>
    <row r="4" spans="2:4">
      <c r="B4" s="217" t="s">
        <v>386</v>
      </c>
      <c r="C4" s="217"/>
      <c r="D4" s="217"/>
    </row>
    <row r="5" spans="2:4">
      <c r="B5" s="172" t="s">
        <v>526</v>
      </c>
    </row>
    <row r="6" spans="2:4">
      <c r="B6" s="172" t="s">
        <v>527</v>
      </c>
    </row>
    <row r="7" spans="2:4">
      <c r="B7" s="172" t="s">
        <v>528</v>
      </c>
    </row>
    <row r="8" spans="2:4">
      <c r="B8" s="172" t="s">
        <v>529</v>
      </c>
    </row>
    <row r="9" spans="2:4">
      <c r="B9" s="172" t="s">
        <v>530</v>
      </c>
    </row>
    <row r="11" spans="2:4">
      <c r="B11" s="217" t="s">
        <v>387</v>
      </c>
      <c r="C11" s="217" t="s">
        <v>388</v>
      </c>
      <c r="D11" s="217" t="s">
        <v>389</v>
      </c>
    </row>
    <row r="12" spans="2:4" ht="13.5">
      <c r="B12" s="172" t="s">
        <v>390</v>
      </c>
      <c r="C12" s="242"/>
      <c r="D12" s="218" t="s">
        <v>536</v>
      </c>
    </row>
    <row r="13" spans="2:4" ht="13.5">
      <c r="B13" s="172" t="s">
        <v>391</v>
      </c>
      <c r="C13" s="241" t="e">
        <f>'3S'!H44</f>
        <v>#DIV/0!</v>
      </c>
      <c r="D13" s="218" t="s">
        <v>537</v>
      </c>
    </row>
    <row r="14" spans="2:4" ht="13.5">
      <c r="B14" s="172" t="s">
        <v>392</v>
      </c>
      <c r="C14" s="241" t="e">
        <f>'3S'!I44</f>
        <v>#DIV/0!</v>
      </c>
      <c r="D14" s="218" t="s">
        <v>538</v>
      </c>
    </row>
    <row r="15" spans="2:4" ht="13.5">
      <c r="B15" s="172" t="s">
        <v>393</v>
      </c>
      <c r="C15" s="244" t="e">
        <f>'3S'!I61</f>
        <v>#DIV/0!</v>
      </c>
      <c r="D15" s="218" t="s">
        <v>539</v>
      </c>
    </row>
    <row r="16" spans="2:4" ht="13.5">
      <c r="B16" s="171" t="s">
        <v>394</v>
      </c>
      <c r="C16" s="245" t="e">
        <f>C15*C14</f>
        <v>#DIV/0!</v>
      </c>
      <c r="D16" s="218" t="s">
        <v>395</v>
      </c>
    </row>
    <row r="17" spans="2:4" ht="13.5">
      <c r="B17" s="171" t="s">
        <v>396</v>
      </c>
      <c r="C17" s="247" t="e">
        <f>C16/C12-1</f>
        <v>#DIV/0!</v>
      </c>
      <c r="D17" s="218" t="s">
        <v>397</v>
      </c>
    </row>
    <row r="18" spans="2:4" ht="13.5">
      <c r="B18" s="172" t="s">
        <v>398</v>
      </c>
      <c r="C18" s="241" t="e">
        <f>'3S'!H48</f>
        <v>#DIV/0!</v>
      </c>
      <c r="D18" s="218" t="s">
        <v>540</v>
      </c>
    </row>
    <row r="19" spans="2:4" ht="13.5">
      <c r="B19" s="172" t="s">
        <v>399</v>
      </c>
      <c r="C19" s="246" t="e">
        <f>C18/C12</f>
        <v>#DIV/0!</v>
      </c>
      <c r="D19" s="218"/>
    </row>
    <row r="20" spans="2:4" ht="13.5">
      <c r="B20" s="172" t="s">
        <v>400</v>
      </c>
      <c r="C20" s="241" t="e">
        <f>'3S'!I48</f>
        <v>#DIV/0!</v>
      </c>
      <c r="D20" s="218" t="s">
        <v>541</v>
      </c>
    </row>
    <row r="21" spans="2:4" ht="13.5">
      <c r="B21" s="172" t="s">
        <v>401</v>
      </c>
      <c r="C21" s="246" t="e">
        <f>C20/C12</f>
        <v>#DIV/0!</v>
      </c>
      <c r="D21" s="218"/>
    </row>
    <row r="22" spans="2:4" ht="13.5">
      <c r="B22" s="171" t="s">
        <v>402</v>
      </c>
      <c r="C22" s="247" t="e">
        <f>C17+C19</f>
        <v>#DIV/0!</v>
      </c>
      <c r="D22" s="218"/>
    </row>
    <row r="23" spans="2:4" ht="13.5">
      <c r="B23" s="172" t="s">
        <v>403</v>
      </c>
      <c r="C23" s="243" t="e">
        <f>C12/C13</f>
        <v>#DIV/0!</v>
      </c>
      <c r="D23" s="218"/>
    </row>
    <row r="24" spans="2:4" ht="13.5">
      <c r="B24" s="172" t="s">
        <v>404</v>
      </c>
      <c r="C24" s="243" t="e">
        <f>C12/C14</f>
        <v>#DIV/0!</v>
      </c>
      <c r="D24" s="218"/>
    </row>
    <row r="26" spans="2:4" ht="13.5">
      <c r="B26" s="218" t="s">
        <v>405</v>
      </c>
      <c r="C26" s="248" t="e">
        <f>'3S'!H61</f>
        <v>#DIV/0!</v>
      </c>
      <c r="D26" s="218" t="s">
        <v>542</v>
      </c>
    </row>
    <row r="27" spans="2:4" ht="13.5">
      <c r="B27" s="218" t="s">
        <v>406</v>
      </c>
      <c r="C27" s="248" t="e">
        <f>'3S'!I61</f>
        <v>#DIV/0!</v>
      </c>
      <c r="D27" s="218" t="s">
        <v>543</v>
      </c>
    </row>
    <row r="28" spans="2:4" ht="13.5">
      <c r="B28" s="218" t="s">
        <v>407</v>
      </c>
      <c r="C28" s="249"/>
      <c r="D28" s="218" t="s">
        <v>544</v>
      </c>
    </row>
    <row r="29" spans="2:4" ht="13.5">
      <c r="B29" s="218" t="s">
        <v>408</v>
      </c>
      <c r="C29" s="249"/>
      <c r="D29" s="218" t="s">
        <v>545</v>
      </c>
    </row>
    <row r="30" spans="2:4" ht="13.5">
      <c r="B30" s="218" t="s">
        <v>409</v>
      </c>
      <c r="C30" s="249" t="e">
        <f>'3S'!H37/100000</f>
        <v>#DIV/0!</v>
      </c>
      <c r="D30" s="218"/>
    </row>
    <row r="31" spans="2:4" ht="13.5">
      <c r="B31" s="218" t="s">
        <v>410</v>
      </c>
      <c r="C31" s="249"/>
      <c r="D31" s="218"/>
    </row>
    <row r="32" spans="2:4" ht="13.5">
      <c r="B32" s="218" t="s">
        <v>411</v>
      </c>
      <c r="C32" s="249" t="e">
        <f>'3S'!I37/100000</f>
        <v>#DIV/0!</v>
      </c>
      <c r="D32" s="218"/>
    </row>
    <row r="33" spans="2:4" ht="13.5">
      <c r="B33" s="218" t="s">
        <v>412</v>
      </c>
      <c r="C33" s="249" t="e">
        <f>C15*C31/('3S'!I43/100)</f>
        <v>#DIV/0!</v>
      </c>
      <c r="D33" s="218" t="s">
        <v>413</v>
      </c>
    </row>
    <row r="35" spans="2:4">
      <c r="B35" s="217" t="s">
        <v>414</v>
      </c>
      <c r="C35" s="217"/>
      <c r="D35" s="217"/>
    </row>
    <row r="36" spans="2:4">
      <c r="B36" s="172" t="s">
        <v>531</v>
      </c>
    </row>
    <row r="37" spans="2:4">
      <c r="B37" s="172" t="s">
        <v>532</v>
      </c>
    </row>
    <row r="38" spans="2:4">
      <c r="B38" s="172" t="s">
        <v>533</v>
      </c>
    </row>
    <row r="39" spans="2:4">
      <c r="B39" s="172" t="s">
        <v>534</v>
      </c>
    </row>
    <row r="40" spans="2:4">
      <c r="B40" s="172" t="s">
        <v>535</v>
      </c>
    </row>
    <row r="42" spans="2:4">
      <c r="B42" s="217" t="s">
        <v>447</v>
      </c>
      <c r="C42" s="217" t="s">
        <v>388</v>
      </c>
      <c r="D42" s="217" t="s">
        <v>389</v>
      </c>
    </row>
    <row r="43" spans="2:4" ht="13.5">
      <c r="B43" s="172" t="s">
        <v>448</v>
      </c>
      <c r="C43" s="264" t="e">
        <f>TEXT(估值区间!C5,"0.0x")&amp;" / "&amp;TEXT(估值区间!C6,"0.0x")</f>
        <v>#DIV/0!</v>
      </c>
      <c r="D43" s="218" t="s">
        <v>546</v>
      </c>
    </row>
    <row r="44" spans="2:4" ht="13.5">
      <c r="B44" s="172" t="s">
        <v>449</v>
      </c>
      <c r="C44" s="265" t="e">
        <f>TEXT(估值区间!C10,"0.0x")&amp;" / "&amp;TEXT(估值区间!C8,"0.0x")&amp;" / "&amp;TEXT(估值区间!C7,"0.0x")&amp;" / "&amp;TEXT(估值区间!C9,"0.0x")</f>
        <v>#DIV/0!</v>
      </c>
      <c r="D44" s="218"/>
    </row>
    <row r="45" spans="2:4" ht="13.5">
      <c r="B45" s="172" t="s">
        <v>450</v>
      </c>
      <c r="C45" s="243" t="e">
        <f>估值区间!C15</f>
        <v>#DIV/0!</v>
      </c>
      <c r="D45" s="218" t="e">
        <f>"位置 "&amp;TEXT(估值区间!C17,"+0.0;-0.0")&amp;"SD"</f>
        <v>#DIV/0!</v>
      </c>
    </row>
    <row r="46" spans="2:4" ht="13.5">
      <c r="B46" s="172" t="s">
        <v>451</v>
      </c>
      <c r="C46" s="243" t="e">
        <f>估值区间!C16</f>
        <v>#DIV/0!</v>
      </c>
      <c r="D46" s="218" t="e">
        <f>"位置 "&amp;TEXT(估值区间!C18,"+0.0;-0.0")&amp;"SD"</f>
        <v>#DIV/0!</v>
      </c>
    </row>
    <row r="47" spans="2:4" ht="13.5">
      <c r="B47" s="172" t="s">
        <v>452</v>
      </c>
      <c r="C47" s="241" t="e">
        <f>估值区间!C5*估值区间!C14</f>
        <v>#DIV/0!</v>
      </c>
      <c r="D47" s="218" t="s">
        <v>453</v>
      </c>
    </row>
    <row r="48" spans="2:4" ht="13.5">
      <c r="B48" s="172" t="s">
        <v>454</v>
      </c>
      <c r="C48" s="241" t="e">
        <f>估值区间!C7*估值区间!C14</f>
        <v>#DIV/0!</v>
      </c>
      <c r="D48" s="218"/>
    </row>
    <row r="49" spans="2:4" ht="13.5">
      <c r="B49" s="172" t="s">
        <v>455</v>
      </c>
      <c r="C49" s="241" t="e">
        <f>估值区间!C5*估值区间!C13</f>
        <v>#DIV/0!</v>
      </c>
      <c r="D49" s="218" t="s">
        <v>456</v>
      </c>
    </row>
    <row r="74" spans="2:2">
      <c r="B74" s="218" t="s">
        <v>547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60D4-55BB-4317-BB89-C9D89D286BC9}">
  <dimension ref="A1:M81"/>
  <sheetViews>
    <sheetView showGridLines="0" workbookViewId="0"/>
  </sheetViews>
  <sheetFormatPr defaultRowHeight="13"/>
  <cols>
    <col min="1" max="1" width="30.6328125" style="250" customWidth="1"/>
    <col min="2" max="3" width="11.6328125" style="250" customWidth="1"/>
    <col min="4" max="4" width="22.6328125" style="250" customWidth="1"/>
    <col min="5" max="12" width="11.6328125" style="250" customWidth="1"/>
    <col min="13" max="13" width="14.6328125" style="250" customWidth="1"/>
    <col min="14" max="16384" width="8.7265625" style="250"/>
  </cols>
  <sheetData>
    <row r="1" spans="1:7" ht="15.5">
      <c r="A1" s="220" t="s">
        <v>548</v>
      </c>
    </row>
    <row r="2" spans="1:7" ht="13.5">
      <c r="A2" s="218" t="s">
        <v>549</v>
      </c>
    </row>
    <row r="4" spans="1:7" ht="13.5">
      <c r="A4" s="172" t="s">
        <v>433</v>
      </c>
      <c r="C4" s="251">
        <f>COUNT(F21:F81)</f>
        <v>0</v>
      </c>
      <c r="F4" s="218" t="s">
        <v>444</v>
      </c>
    </row>
    <row r="5" spans="1:7" ht="13.5">
      <c r="A5" s="171" t="s">
        <v>428</v>
      </c>
      <c r="B5" s="252"/>
      <c r="C5" s="253" t="e">
        <f>_xlfn.AGGREGATE(1,6,F21:F81)</f>
        <v>#DIV/0!</v>
      </c>
      <c r="F5" s="218" t="s">
        <v>428</v>
      </c>
      <c r="G5" s="254" t="e">
        <f>AVERAGE(E21:E81)</f>
        <v>#DIV/0!</v>
      </c>
    </row>
    <row r="6" spans="1:7" ht="13.5">
      <c r="A6" s="172" t="s">
        <v>434</v>
      </c>
      <c r="C6" s="255" t="e">
        <f>_xlfn.AGGREGATE(8,6,F21:F81)</f>
        <v>#DIV/0!</v>
      </c>
      <c r="F6" s="218" t="s">
        <v>445</v>
      </c>
      <c r="G6" s="254" t="e">
        <f>_xlfn.STDEV.P(E21:E81)</f>
        <v>#DIV/0!</v>
      </c>
    </row>
    <row r="7" spans="1:7" ht="13.5">
      <c r="A7" s="172" t="s">
        <v>429</v>
      </c>
      <c r="C7" s="255" t="e">
        <f>C5+C6</f>
        <v>#DIV/0!</v>
      </c>
      <c r="F7" s="218" t="s">
        <v>446</v>
      </c>
      <c r="G7" s="256">
        <f>COUNT(E21:E81)</f>
        <v>0</v>
      </c>
    </row>
    <row r="8" spans="1:7" ht="13.5">
      <c r="A8" s="172" t="s">
        <v>430</v>
      </c>
      <c r="C8" s="255" t="e">
        <f>C5-C6</f>
        <v>#DIV/0!</v>
      </c>
    </row>
    <row r="9" spans="1:7" ht="13.5">
      <c r="A9" s="172" t="s">
        <v>431</v>
      </c>
      <c r="C9" s="255" t="e">
        <f>C5+2*C6</f>
        <v>#DIV/0!</v>
      </c>
    </row>
    <row r="10" spans="1:7" ht="13.5">
      <c r="A10" s="172" t="s">
        <v>432</v>
      </c>
      <c r="C10" s="255" t="e">
        <f>C5-2*C6</f>
        <v>#DIV/0!</v>
      </c>
    </row>
    <row r="12" spans="1:7" ht="13.5">
      <c r="A12" s="172" t="s">
        <v>435</v>
      </c>
      <c r="C12" s="257">
        <f>投资逻辑!C12</f>
        <v>0</v>
      </c>
      <c r="D12" s="218" t="s">
        <v>550</v>
      </c>
    </row>
    <row r="13" spans="1:7" ht="13.5">
      <c r="A13" s="172" t="s">
        <v>436</v>
      </c>
      <c r="C13" s="258">
        <f>C81</f>
        <v>0</v>
      </c>
      <c r="D13" s="218" t="s">
        <v>551</v>
      </c>
    </row>
    <row r="14" spans="1:7" ht="13.5">
      <c r="A14" s="172" t="s">
        <v>437</v>
      </c>
      <c r="C14" s="258" t="e">
        <f>'3S'!S44*2/3+'3S'!I44*10/12</f>
        <v>#DIV/0!</v>
      </c>
      <c r="D14" s="219" t="s">
        <v>438</v>
      </c>
    </row>
    <row r="15" spans="1:7" ht="13.5">
      <c r="A15" s="171" t="s">
        <v>439</v>
      </c>
      <c r="B15" s="252"/>
      <c r="C15" s="253" t="e">
        <f>C12/C13</f>
        <v>#DIV/0!</v>
      </c>
    </row>
    <row r="16" spans="1:7" ht="13.5">
      <c r="A16" s="171" t="s">
        <v>440</v>
      </c>
      <c r="B16" s="252"/>
      <c r="C16" s="253" t="e">
        <f>C12/C14</f>
        <v>#DIV/0!</v>
      </c>
    </row>
    <row r="17" spans="1:13" ht="13.5">
      <c r="A17" s="171" t="s">
        <v>441</v>
      </c>
      <c r="B17" s="252"/>
      <c r="C17" s="259" t="e">
        <f>(C15-C5)/C6</f>
        <v>#DIV/0!</v>
      </c>
      <c r="D17" s="218" t="s">
        <v>442</v>
      </c>
    </row>
    <row r="18" spans="1:13" ht="13.5">
      <c r="A18" s="171" t="s">
        <v>443</v>
      </c>
      <c r="B18" s="252"/>
      <c r="C18" s="259" t="e">
        <f>(C16-C5)/C6</f>
        <v>#DIV/0!</v>
      </c>
    </row>
    <row r="20" spans="1:13" ht="13.5">
      <c r="A20" s="217" t="s">
        <v>421</v>
      </c>
      <c r="B20" s="217" t="s">
        <v>422</v>
      </c>
      <c r="C20" s="217" t="s">
        <v>423</v>
      </c>
      <c r="D20" s="217" t="s">
        <v>424</v>
      </c>
      <c r="E20" s="217" t="s">
        <v>425</v>
      </c>
      <c r="F20" s="217" t="s">
        <v>426</v>
      </c>
      <c r="G20" s="217" t="s">
        <v>427</v>
      </c>
      <c r="H20" s="217" t="s">
        <v>428</v>
      </c>
      <c r="I20" s="217" t="s">
        <v>429</v>
      </c>
      <c r="J20" s="217" t="s">
        <v>430</v>
      </c>
      <c r="K20" s="217" t="s">
        <v>431</v>
      </c>
      <c r="L20" s="217" t="s">
        <v>432</v>
      </c>
      <c r="M20" s="217" t="s">
        <v>457</v>
      </c>
    </row>
    <row r="21" spans="1:13" ht="13.5">
      <c r="A21" s="260"/>
      <c r="B21" s="261"/>
      <c r="C21" s="262"/>
      <c r="D21" s="172"/>
      <c r="E21" s="255" t="e">
        <f t="shared" ref="E21:E52" si="0">B21/C21</f>
        <v>#DIV/0!</v>
      </c>
      <c r="F21" s="255" t="e">
        <f t="shared" ref="F21:F52" si="1">IF(LEFT(D21,4)="一致预期",E21,NA())</f>
        <v>#N/A</v>
      </c>
      <c r="G21" s="255" t="e">
        <f t="shared" ref="G21:G52" si="2">IF(ISNUMBER(SEARCH("实际",D21)),E21,NA())</f>
        <v>#N/A</v>
      </c>
      <c r="H21" s="255" t="e">
        <f t="shared" ref="H21:H52" si="3">$C$5</f>
        <v>#DIV/0!</v>
      </c>
      <c r="I21" s="255" t="e">
        <f t="shared" ref="I21:I52" si="4">$C$7</f>
        <v>#DIV/0!</v>
      </c>
      <c r="J21" s="255" t="e">
        <f t="shared" ref="J21:J52" si="5">$C$8</f>
        <v>#DIV/0!</v>
      </c>
      <c r="K21" s="255" t="e">
        <f t="shared" ref="K21:K52" si="6">$C$9</f>
        <v>#DIV/0!</v>
      </c>
      <c r="L21" s="255" t="e">
        <f t="shared" ref="L21:L52" si="7">$C$10</f>
        <v>#DIV/0!</v>
      </c>
      <c r="M21" s="255" t="e">
        <f t="shared" ref="M21:M52" si="8">IF(ROW()=81,$C$16,NA())</f>
        <v>#N/A</v>
      </c>
    </row>
    <row r="22" spans="1:13" ht="13.5">
      <c r="A22" s="260"/>
      <c r="B22" s="261"/>
      <c r="C22" s="262"/>
      <c r="D22" s="172"/>
      <c r="E22" s="255" t="e">
        <f t="shared" si="0"/>
        <v>#DIV/0!</v>
      </c>
      <c r="F22" s="255" t="e">
        <f t="shared" si="1"/>
        <v>#N/A</v>
      </c>
      <c r="G22" s="255" t="e">
        <f t="shared" si="2"/>
        <v>#N/A</v>
      </c>
      <c r="H22" s="255" t="e">
        <f t="shared" si="3"/>
        <v>#DIV/0!</v>
      </c>
      <c r="I22" s="255" t="e">
        <f t="shared" si="4"/>
        <v>#DIV/0!</v>
      </c>
      <c r="J22" s="255" t="e">
        <f t="shared" si="5"/>
        <v>#DIV/0!</v>
      </c>
      <c r="K22" s="255" t="e">
        <f t="shared" si="6"/>
        <v>#DIV/0!</v>
      </c>
      <c r="L22" s="255" t="e">
        <f t="shared" si="7"/>
        <v>#DIV/0!</v>
      </c>
      <c r="M22" s="255" t="e">
        <f t="shared" si="8"/>
        <v>#N/A</v>
      </c>
    </row>
    <row r="23" spans="1:13" ht="13.5">
      <c r="A23" s="260"/>
      <c r="B23" s="261"/>
      <c r="C23" s="262"/>
      <c r="D23" s="172"/>
      <c r="E23" s="255" t="e">
        <f t="shared" si="0"/>
        <v>#DIV/0!</v>
      </c>
      <c r="F23" s="255" t="e">
        <f t="shared" si="1"/>
        <v>#N/A</v>
      </c>
      <c r="G23" s="255" t="e">
        <f t="shared" si="2"/>
        <v>#N/A</v>
      </c>
      <c r="H23" s="255" t="e">
        <f t="shared" si="3"/>
        <v>#DIV/0!</v>
      </c>
      <c r="I23" s="255" t="e">
        <f t="shared" si="4"/>
        <v>#DIV/0!</v>
      </c>
      <c r="J23" s="255" t="e">
        <f t="shared" si="5"/>
        <v>#DIV/0!</v>
      </c>
      <c r="K23" s="255" t="e">
        <f t="shared" si="6"/>
        <v>#DIV/0!</v>
      </c>
      <c r="L23" s="255" t="e">
        <f t="shared" si="7"/>
        <v>#DIV/0!</v>
      </c>
      <c r="M23" s="255" t="e">
        <f t="shared" si="8"/>
        <v>#N/A</v>
      </c>
    </row>
    <row r="24" spans="1:13" ht="13.5">
      <c r="A24" s="260"/>
      <c r="B24" s="263"/>
      <c r="C24" s="262"/>
      <c r="D24" s="172"/>
      <c r="E24" s="255" t="e">
        <f t="shared" si="0"/>
        <v>#DIV/0!</v>
      </c>
      <c r="F24" s="255" t="e">
        <f t="shared" si="1"/>
        <v>#N/A</v>
      </c>
      <c r="G24" s="255" t="e">
        <f t="shared" si="2"/>
        <v>#N/A</v>
      </c>
      <c r="H24" s="255" t="e">
        <f t="shared" si="3"/>
        <v>#DIV/0!</v>
      </c>
      <c r="I24" s="255" t="e">
        <f t="shared" si="4"/>
        <v>#DIV/0!</v>
      </c>
      <c r="J24" s="255" t="e">
        <f t="shared" si="5"/>
        <v>#DIV/0!</v>
      </c>
      <c r="K24" s="255" t="e">
        <f t="shared" si="6"/>
        <v>#DIV/0!</v>
      </c>
      <c r="L24" s="255" t="e">
        <f t="shared" si="7"/>
        <v>#DIV/0!</v>
      </c>
      <c r="M24" s="255" t="e">
        <f t="shared" si="8"/>
        <v>#N/A</v>
      </c>
    </row>
    <row r="25" spans="1:13" ht="13.5">
      <c r="A25" s="260"/>
      <c r="B25" s="261"/>
      <c r="C25" s="262"/>
      <c r="D25" s="172"/>
      <c r="E25" s="255" t="e">
        <f t="shared" si="0"/>
        <v>#DIV/0!</v>
      </c>
      <c r="F25" s="255" t="e">
        <f t="shared" si="1"/>
        <v>#N/A</v>
      </c>
      <c r="G25" s="255" t="e">
        <f t="shared" si="2"/>
        <v>#N/A</v>
      </c>
      <c r="H25" s="255" t="e">
        <f t="shared" si="3"/>
        <v>#DIV/0!</v>
      </c>
      <c r="I25" s="255" t="e">
        <f t="shared" si="4"/>
        <v>#DIV/0!</v>
      </c>
      <c r="J25" s="255" t="e">
        <f t="shared" si="5"/>
        <v>#DIV/0!</v>
      </c>
      <c r="K25" s="255" t="e">
        <f t="shared" si="6"/>
        <v>#DIV/0!</v>
      </c>
      <c r="L25" s="255" t="e">
        <f t="shared" si="7"/>
        <v>#DIV/0!</v>
      </c>
      <c r="M25" s="255" t="e">
        <f t="shared" si="8"/>
        <v>#N/A</v>
      </c>
    </row>
    <row r="26" spans="1:13" ht="13.5">
      <c r="A26" s="260"/>
      <c r="B26" s="261"/>
      <c r="C26" s="262"/>
      <c r="D26" s="172"/>
      <c r="E26" s="255" t="e">
        <f t="shared" si="0"/>
        <v>#DIV/0!</v>
      </c>
      <c r="F26" s="255" t="e">
        <f t="shared" si="1"/>
        <v>#N/A</v>
      </c>
      <c r="G26" s="255" t="e">
        <f t="shared" si="2"/>
        <v>#N/A</v>
      </c>
      <c r="H26" s="255" t="e">
        <f t="shared" si="3"/>
        <v>#DIV/0!</v>
      </c>
      <c r="I26" s="255" t="e">
        <f t="shared" si="4"/>
        <v>#DIV/0!</v>
      </c>
      <c r="J26" s="255" t="e">
        <f t="shared" si="5"/>
        <v>#DIV/0!</v>
      </c>
      <c r="K26" s="255" t="e">
        <f t="shared" si="6"/>
        <v>#DIV/0!</v>
      </c>
      <c r="L26" s="255" t="e">
        <f t="shared" si="7"/>
        <v>#DIV/0!</v>
      </c>
      <c r="M26" s="255" t="e">
        <f t="shared" si="8"/>
        <v>#N/A</v>
      </c>
    </row>
    <row r="27" spans="1:13" ht="13.5">
      <c r="A27" s="260"/>
      <c r="B27" s="261"/>
      <c r="C27" s="262"/>
      <c r="D27" s="172"/>
      <c r="E27" s="255" t="e">
        <f t="shared" si="0"/>
        <v>#DIV/0!</v>
      </c>
      <c r="F27" s="255" t="e">
        <f t="shared" si="1"/>
        <v>#N/A</v>
      </c>
      <c r="G27" s="255" t="e">
        <f t="shared" si="2"/>
        <v>#N/A</v>
      </c>
      <c r="H27" s="255" t="e">
        <f t="shared" si="3"/>
        <v>#DIV/0!</v>
      </c>
      <c r="I27" s="255" t="e">
        <f t="shared" si="4"/>
        <v>#DIV/0!</v>
      </c>
      <c r="J27" s="255" t="e">
        <f t="shared" si="5"/>
        <v>#DIV/0!</v>
      </c>
      <c r="K27" s="255" t="e">
        <f t="shared" si="6"/>
        <v>#DIV/0!</v>
      </c>
      <c r="L27" s="255" t="e">
        <f t="shared" si="7"/>
        <v>#DIV/0!</v>
      </c>
      <c r="M27" s="255" t="e">
        <f t="shared" si="8"/>
        <v>#N/A</v>
      </c>
    </row>
    <row r="28" spans="1:13" ht="13.5">
      <c r="A28" s="260"/>
      <c r="B28" s="261"/>
      <c r="C28" s="262"/>
      <c r="D28" s="172"/>
      <c r="E28" s="255" t="e">
        <f t="shared" si="0"/>
        <v>#DIV/0!</v>
      </c>
      <c r="F28" s="255" t="e">
        <f t="shared" si="1"/>
        <v>#N/A</v>
      </c>
      <c r="G28" s="255" t="e">
        <f t="shared" si="2"/>
        <v>#N/A</v>
      </c>
      <c r="H28" s="255" t="e">
        <f t="shared" si="3"/>
        <v>#DIV/0!</v>
      </c>
      <c r="I28" s="255" t="e">
        <f t="shared" si="4"/>
        <v>#DIV/0!</v>
      </c>
      <c r="J28" s="255" t="e">
        <f t="shared" si="5"/>
        <v>#DIV/0!</v>
      </c>
      <c r="K28" s="255" t="e">
        <f t="shared" si="6"/>
        <v>#DIV/0!</v>
      </c>
      <c r="L28" s="255" t="e">
        <f t="shared" si="7"/>
        <v>#DIV/0!</v>
      </c>
      <c r="M28" s="255" t="e">
        <f t="shared" si="8"/>
        <v>#N/A</v>
      </c>
    </row>
    <row r="29" spans="1:13" ht="13.5">
      <c r="A29" s="260"/>
      <c r="B29" s="261"/>
      <c r="C29" s="262"/>
      <c r="D29" s="172"/>
      <c r="E29" s="255" t="e">
        <f t="shared" si="0"/>
        <v>#DIV/0!</v>
      </c>
      <c r="F29" s="255" t="e">
        <f t="shared" si="1"/>
        <v>#N/A</v>
      </c>
      <c r="G29" s="255" t="e">
        <f t="shared" si="2"/>
        <v>#N/A</v>
      </c>
      <c r="H29" s="255" t="e">
        <f t="shared" si="3"/>
        <v>#DIV/0!</v>
      </c>
      <c r="I29" s="255" t="e">
        <f t="shared" si="4"/>
        <v>#DIV/0!</v>
      </c>
      <c r="J29" s="255" t="e">
        <f t="shared" si="5"/>
        <v>#DIV/0!</v>
      </c>
      <c r="K29" s="255" t="e">
        <f t="shared" si="6"/>
        <v>#DIV/0!</v>
      </c>
      <c r="L29" s="255" t="e">
        <f t="shared" si="7"/>
        <v>#DIV/0!</v>
      </c>
      <c r="M29" s="255" t="e">
        <f t="shared" si="8"/>
        <v>#N/A</v>
      </c>
    </row>
    <row r="30" spans="1:13" ht="13.5">
      <c r="A30" s="260"/>
      <c r="B30" s="261"/>
      <c r="C30" s="262"/>
      <c r="D30" s="172"/>
      <c r="E30" s="255" t="e">
        <f t="shared" si="0"/>
        <v>#DIV/0!</v>
      </c>
      <c r="F30" s="255" t="e">
        <f t="shared" si="1"/>
        <v>#N/A</v>
      </c>
      <c r="G30" s="255" t="e">
        <f t="shared" si="2"/>
        <v>#N/A</v>
      </c>
      <c r="H30" s="255" t="e">
        <f t="shared" si="3"/>
        <v>#DIV/0!</v>
      </c>
      <c r="I30" s="255" t="e">
        <f t="shared" si="4"/>
        <v>#DIV/0!</v>
      </c>
      <c r="J30" s="255" t="e">
        <f t="shared" si="5"/>
        <v>#DIV/0!</v>
      </c>
      <c r="K30" s="255" t="e">
        <f t="shared" si="6"/>
        <v>#DIV/0!</v>
      </c>
      <c r="L30" s="255" t="e">
        <f t="shared" si="7"/>
        <v>#DIV/0!</v>
      </c>
      <c r="M30" s="255" t="e">
        <f t="shared" si="8"/>
        <v>#N/A</v>
      </c>
    </row>
    <row r="31" spans="1:13" ht="13.5">
      <c r="A31" s="260"/>
      <c r="B31" s="261"/>
      <c r="C31" s="262"/>
      <c r="D31" s="172"/>
      <c r="E31" s="255" t="e">
        <f t="shared" si="0"/>
        <v>#DIV/0!</v>
      </c>
      <c r="F31" s="255" t="e">
        <f t="shared" si="1"/>
        <v>#N/A</v>
      </c>
      <c r="G31" s="255" t="e">
        <f t="shared" si="2"/>
        <v>#N/A</v>
      </c>
      <c r="H31" s="255" t="e">
        <f t="shared" si="3"/>
        <v>#DIV/0!</v>
      </c>
      <c r="I31" s="255" t="e">
        <f t="shared" si="4"/>
        <v>#DIV/0!</v>
      </c>
      <c r="J31" s="255" t="e">
        <f t="shared" si="5"/>
        <v>#DIV/0!</v>
      </c>
      <c r="K31" s="255" t="e">
        <f t="shared" si="6"/>
        <v>#DIV/0!</v>
      </c>
      <c r="L31" s="255" t="e">
        <f t="shared" si="7"/>
        <v>#DIV/0!</v>
      </c>
      <c r="M31" s="255" t="e">
        <f t="shared" si="8"/>
        <v>#N/A</v>
      </c>
    </row>
    <row r="32" spans="1:13" ht="13.5">
      <c r="A32" s="260"/>
      <c r="B32" s="261"/>
      <c r="C32" s="262"/>
      <c r="D32" s="172"/>
      <c r="E32" s="255" t="e">
        <f t="shared" si="0"/>
        <v>#DIV/0!</v>
      </c>
      <c r="F32" s="255" t="e">
        <f t="shared" si="1"/>
        <v>#N/A</v>
      </c>
      <c r="G32" s="255" t="e">
        <f t="shared" si="2"/>
        <v>#N/A</v>
      </c>
      <c r="H32" s="255" t="e">
        <f t="shared" si="3"/>
        <v>#DIV/0!</v>
      </c>
      <c r="I32" s="255" t="e">
        <f t="shared" si="4"/>
        <v>#DIV/0!</v>
      </c>
      <c r="J32" s="255" t="e">
        <f t="shared" si="5"/>
        <v>#DIV/0!</v>
      </c>
      <c r="K32" s="255" t="e">
        <f t="shared" si="6"/>
        <v>#DIV/0!</v>
      </c>
      <c r="L32" s="255" t="e">
        <f t="shared" si="7"/>
        <v>#DIV/0!</v>
      </c>
      <c r="M32" s="255" t="e">
        <f t="shared" si="8"/>
        <v>#N/A</v>
      </c>
    </row>
    <row r="33" spans="1:13" ht="13.5">
      <c r="A33" s="260"/>
      <c r="B33" s="261"/>
      <c r="C33" s="262"/>
      <c r="D33" s="172"/>
      <c r="E33" s="255" t="e">
        <f t="shared" si="0"/>
        <v>#DIV/0!</v>
      </c>
      <c r="F33" s="255" t="e">
        <f t="shared" si="1"/>
        <v>#N/A</v>
      </c>
      <c r="G33" s="255" t="e">
        <f t="shared" si="2"/>
        <v>#N/A</v>
      </c>
      <c r="H33" s="255" t="e">
        <f t="shared" si="3"/>
        <v>#DIV/0!</v>
      </c>
      <c r="I33" s="255" t="e">
        <f t="shared" si="4"/>
        <v>#DIV/0!</v>
      </c>
      <c r="J33" s="255" t="e">
        <f t="shared" si="5"/>
        <v>#DIV/0!</v>
      </c>
      <c r="K33" s="255" t="e">
        <f t="shared" si="6"/>
        <v>#DIV/0!</v>
      </c>
      <c r="L33" s="255" t="e">
        <f t="shared" si="7"/>
        <v>#DIV/0!</v>
      </c>
      <c r="M33" s="255" t="e">
        <f t="shared" si="8"/>
        <v>#N/A</v>
      </c>
    </row>
    <row r="34" spans="1:13" ht="13.5">
      <c r="A34" s="260"/>
      <c r="B34" s="261"/>
      <c r="C34" s="262"/>
      <c r="D34" s="172"/>
      <c r="E34" s="255" t="e">
        <f t="shared" si="0"/>
        <v>#DIV/0!</v>
      </c>
      <c r="F34" s="255" t="e">
        <f t="shared" si="1"/>
        <v>#N/A</v>
      </c>
      <c r="G34" s="255" t="e">
        <f t="shared" si="2"/>
        <v>#N/A</v>
      </c>
      <c r="H34" s="255" t="e">
        <f t="shared" si="3"/>
        <v>#DIV/0!</v>
      </c>
      <c r="I34" s="255" t="e">
        <f t="shared" si="4"/>
        <v>#DIV/0!</v>
      </c>
      <c r="J34" s="255" t="e">
        <f t="shared" si="5"/>
        <v>#DIV/0!</v>
      </c>
      <c r="K34" s="255" t="e">
        <f t="shared" si="6"/>
        <v>#DIV/0!</v>
      </c>
      <c r="L34" s="255" t="e">
        <f t="shared" si="7"/>
        <v>#DIV/0!</v>
      </c>
      <c r="M34" s="255" t="e">
        <f t="shared" si="8"/>
        <v>#N/A</v>
      </c>
    </row>
    <row r="35" spans="1:13" ht="13.5">
      <c r="A35" s="260"/>
      <c r="B35" s="261"/>
      <c r="C35" s="262"/>
      <c r="D35" s="172"/>
      <c r="E35" s="255" t="e">
        <f t="shared" si="0"/>
        <v>#DIV/0!</v>
      </c>
      <c r="F35" s="255" t="e">
        <f t="shared" si="1"/>
        <v>#N/A</v>
      </c>
      <c r="G35" s="255" t="e">
        <f t="shared" si="2"/>
        <v>#N/A</v>
      </c>
      <c r="H35" s="255" t="e">
        <f t="shared" si="3"/>
        <v>#DIV/0!</v>
      </c>
      <c r="I35" s="255" t="e">
        <f t="shared" si="4"/>
        <v>#DIV/0!</v>
      </c>
      <c r="J35" s="255" t="e">
        <f t="shared" si="5"/>
        <v>#DIV/0!</v>
      </c>
      <c r="K35" s="255" t="e">
        <f t="shared" si="6"/>
        <v>#DIV/0!</v>
      </c>
      <c r="L35" s="255" t="e">
        <f t="shared" si="7"/>
        <v>#DIV/0!</v>
      </c>
      <c r="M35" s="255" t="e">
        <f t="shared" si="8"/>
        <v>#N/A</v>
      </c>
    </row>
    <row r="36" spans="1:13" ht="13.5">
      <c r="A36" s="260"/>
      <c r="B36" s="261"/>
      <c r="C36" s="262"/>
      <c r="D36" s="172"/>
      <c r="E36" s="255" t="e">
        <f t="shared" si="0"/>
        <v>#DIV/0!</v>
      </c>
      <c r="F36" s="255" t="e">
        <f t="shared" si="1"/>
        <v>#N/A</v>
      </c>
      <c r="G36" s="255" t="e">
        <f t="shared" si="2"/>
        <v>#N/A</v>
      </c>
      <c r="H36" s="255" t="e">
        <f t="shared" si="3"/>
        <v>#DIV/0!</v>
      </c>
      <c r="I36" s="255" t="e">
        <f t="shared" si="4"/>
        <v>#DIV/0!</v>
      </c>
      <c r="J36" s="255" t="e">
        <f t="shared" si="5"/>
        <v>#DIV/0!</v>
      </c>
      <c r="K36" s="255" t="e">
        <f t="shared" si="6"/>
        <v>#DIV/0!</v>
      </c>
      <c r="L36" s="255" t="e">
        <f t="shared" si="7"/>
        <v>#DIV/0!</v>
      </c>
      <c r="M36" s="255" t="e">
        <f t="shared" si="8"/>
        <v>#N/A</v>
      </c>
    </row>
    <row r="37" spans="1:13" ht="13.5">
      <c r="A37" s="260"/>
      <c r="B37" s="261"/>
      <c r="C37" s="262"/>
      <c r="D37" s="172"/>
      <c r="E37" s="255" t="e">
        <f t="shared" si="0"/>
        <v>#DIV/0!</v>
      </c>
      <c r="F37" s="255" t="e">
        <f t="shared" si="1"/>
        <v>#N/A</v>
      </c>
      <c r="G37" s="255" t="e">
        <f t="shared" si="2"/>
        <v>#N/A</v>
      </c>
      <c r="H37" s="255" t="e">
        <f t="shared" si="3"/>
        <v>#DIV/0!</v>
      </c>
      <c r="I37" s="255" t="e">
        <f t="shared" si="4"/>
        <v>#DIV/0!</v>
      </c>
      <c r="J37" s="255" t="e">
        <f t="shared" si="5"/>
        <v>#DIV/0!</v>
      </c>
      <c r="K37" s="255" t="e">
        <f t="shared" si="6"/>
        <v>#DIV/0!</v>
      </c>
      <c r="L37" s="255" t="e">
        <f t="shared" si="7"/>
        <v>#DIV/0!</v>
      </c>
      <c r="M37" s="255" t="e">
        <f t="shared" si="8"/>
        <v>#N/A</v>
      </c>
    </row>
    <row r="38" spans="1:13" ht="13.5">
      <c r="A38" s="260"/>
      <c r="B38" s="261"/>
      <c r="C38" s="262"/>
      <c r="D38" s="172"/>
      <c r="E38" s="255" t="e">
        <f t="shared" si="0"/>
        <v>#DIV/0!</v>
      </c>
      <c r="F38" s="255" t="e">
        <f t="shared" si="1"/>
        <v>#N/A</v>
      </c>
      <c r="G38" s="255" t="e">
        <f t="shared" si="2"/>
        <v>#N/A</v>
      </c>
      <c r="H38" s="255" t="e">
        <f t="shared" si="3"/>
        <v>#DIV/0!</v>
      </c>
      <c r="I38" s="255" t="e">
        <f t="shared" si="4"/>
        <v>#DIV/0!</v>
      </c>
      <c r="J38" s="255" t="e">
        <f t="shared" si="5"/>
        <v>#DIV/0!</v>
      </c>
      <c r="K38" s="255" t="e">
        <f t="shared" si="6"/>
        <v>#DIV/0!</v>
      </c>
      <c r="L38" s="255" t="e">
        <f t="shared" si="7"/>
        <v>#DIV/0!</v>
      </c>
      <c r="M38" s="255" t="e">
        <f t="shared" si="8"/>
        <v>#N/A</v>
      </c>
    </row>
    <row r="39" spans="1:13" ht="13.5">
      <c r="A39" s="260"/>
      <c r="B39" s="261"/>
      <c r="C39" s="262"/>
      <c r="D39" s="172"/>
      <c r="E39" s="255" t="e">
        <f t="shared" si="0"/>
        <v>#DIV/0!</v>
      </c>
      <c r="F39" s="255" t="e">
        <f t="shared" si="1"/>
        <v>#N/A</v>
      </c>
      <c r="G39" s="255" t="e">
        <f t="shared" si="2"/>
        <v>#N/A</v>
      </c>
      <c r="H39" s="255" t="e">
        <f t="shared" si="3"/>
        <v>#DIV/0!</v>
      </c>
      <c r="I39" s="255" t="e">
        <f t="shared" si="4"/>
        <v>#DIV/0!</v>
      </c>
      <c r="J39" s="255" t="e">
        <f t="shared" si="5"/>
        <v>#DIV/0!</v>
      </c>
      <c r="K39" s="255" t="e">
        <f t="shared" si="6"/>
        <v>#DIV/0!</v>
      </c>
      <c r="L39" s="255" t="e">
        <f t="shared" si="7"/>
        <v>#DIV/0!</v>
      </c>
      <c r="M39" s="255" t="e">
        <f t="shared" si="8"/>
        <v>#N/A</v>
      </c>
    </row>
    <row r="40" spans="1:13" ht="13.5">
      <c r="A40" s="260"/>
      <c r="B40" s="261"/>
      <c r="C40" s="262"/>
      <c r="D40" s="172"/>
      <c r="E40" s="255" t="e">
        <f t="shared" si="0"/>
        <v>#DIV/0!</v>
      </c>
      <c r="F40" s="255" t="e">
        <f t="shared" si="1"/>
        <v>#N/A</v>
      </c>
      <c r="G40" s="255" t="e">
        <f t="shared" si="2"/>
        <v>#N/A</v>
      </c>
      <c r="H40" s="255" t="e">
        <f t="shared" si="3"/>
        <v>#DIV/0!</v>
      </c>
      <c r="I40" s="255" t="e">
        <f t="shared" si="4"/>
        <v>#DIV/0!</v>
      </c>
      <c r="J40" s="255" t="e">
        <f t="shared" si="5"/>
        <v>#DIV/0!</v>
      </c>
      <c r="K40" s="255" t="e">
        <f t="shared" si="6"/>
        <v>#DIV/0!</v>
      </c>
      <c r="L40" s="255" t="e">
        <f t="shared" si="7"/>
        <v>#DIV/0!</v>
      </c>
      <c r="M40" s="255" t="e">
        <f t="shared" si="8"/>
        <v>#N/A</v>
      </c>
    </row>
    <row r="41" spans="1:13" ht="13.5">
      <c r="A41" s="260"/>
      <c r="B41" s="261"/>
      <c r="C41" s="262"/>
      <c r="D41" s="172"/>
      <c r="E41" s="255" t="e">
        <f t="shared" si="0"/>
        <v>#DIV/0!</v>
      </c>
      <c r="F41" s="255" t="e">
        <f t="shared" si="1"/>
        <v>#N/A</v>
      </c>
      <c r="G41" s="255" t="e">
        <f t="shared" si="2"/>
        <v>#N/A</v>
      </c>
      <c r="H41" s="255" t="e">
        <f t="shared" si="3"/>
        <v>#DIV/0!</v>
      </c>
      <c r="I41" s="255" t="e">
        <f t="shared" si="4"/>
        <v>#DIV/0!</v>
      </c>
      <c r="J41" s="255" t="e">
        <f t="shared" si="5"/>
        <v>#DIV/0!</v>
      </c>
      <c r="K41" s="255" t="e">
        <f t="shared" si="6"/>
        <v>#DIV/0!</v>
      </c>
      <c r="L41" s="255" t="e">
        <f t="shared" si="7"/>
        <v>#DIV/0!</v>
      </c>
      <c r="M41" s="255" t="e">
        <f t="shared" si="8"/>
        <v>#N/A</v>
      </c>
    </row>
    <row r="42" spans="1:13" ht="13.5">
      <c r="A42" s="260"/>
      <c r="B42" s="261"/>
      <c r="C42" s="262"/>
      <c r="D42" s="172"/>
      <c r="E42" s="255" t="e">
        <f t="shared" si="0"/>
        <v>#DIV/0!</v>
      </c>
      <c r="F42" s="255" t="e">
        <f t="shared" si="1"/>
        <v>#N/A</v>
      </c>
      <c r="G42" s="255" t="e">
        <f t="shared" si="2"/>
        <v>#N/A</v>
      </c>
      <c r="H42" s="255" t="e">
        <f t="shared" si="3"/>
        <v>#DIV/0!</v>
      </c>
      <c r="I42" s="255" t="e">
        <f t="shared" si="4"/>
        <v>#DIV/0!</v>
      </c>
      <c r="J42" s="255" t="e">
        <f t="shared" si="5"/>
        <v>#DIV/0!</v>
      </c>
      <c r="K42" s="255" t="e">
        <f t="shared" si="6"/>
        <v>#DIV/0!</v>
      </c>
      <c r="L42" s="255" t="e">
        <f t="shared" si="7"/>
        <v>#DIV/0!</v>
      </c>
      <c r="M42" s="255" t="e">
        <f t="shared" si="8"/>
        <v>#N/A</v>
      </c>
    </row>
    <row r="43" spans="1:13" ht="13.5">
      <c r="A43" s="260"/>
      <c r="B43" s="261"/>
      <c r="C43" s="262"/>
      <c r="D43" s="172"/>
      <c r="E43" s="255" t="e">
        <f t="shared" si="0"/>
        <v>#DIV/0!</v>
      </c>
      <c r="F43" s="255" t="e">
        <f t="shared" si="1"/>
        <v>#N/A</v>
      </c>
      <c r="G43" s="255" t="e">
        <f t="shared" si="2"/>
        <v>#N/A</v>
      </c>
      <c r="H43" s="255" t="e">
        <f t="shared" si="3"/>
        <v>#DIV/0!</v>
      </c>
      <c r="I43" s="255" t="e">
        <f t="shared" si="4"/>
        <v>#DIV/0!</v>
      </c>
      <c r="J43" s="255" t="e">
        <f t="shared" si="5"/>
        <v>#DIV/0!</v>
      </c>
      <c r="K43" s="255" t="e">
        <f t="shared" si="6"/>
        <v>#DIV/0!</v>
      </c>
      <c r="L43" s="255" t="e">
        <f t="shared" si="7"/>
        <v>#DIV/0!</v>
      </c>
      <c r="M43" s="255" t="e">
        <f t="shared" si="8"/>
        <v>#N/A</v>
      </c>
    </row>
    <row r="44" spans="1:13" ht="13.5">
      <c r="A44" s="260"/>
      <c r="B44" s="263"/>
      <c r="C44" s="262"/>
      <c r="D44" s="172"/>
      <c r="E44" s="255" t="e">
        <f t="shared" si="0"/>
        <v>#DIV/0!</v>
      </c>
      <c r="F44" s="255" t="e">
        <f t="shared" si="1"/>
        <v>#N/A</v>
      </c>
      <c r="G44" s="255" t="e">
        <f t="shared" si="2"/>
        <v>#N/A</v>
      </c>
      <c r="H44" s="255" t="e">
        <f t="shared" si="3"/>
        <v>#DIV/0!</v>
      </c>
      <c r="I44" s="255" t="e">
        <f t="shared" si="4"/>
        <v>#DIV/0!</v>
      </c>
      <c r="J44" s="255" t="e">
        <f t="shared" si="5"/>
        <v>#DIV/0!</v>
      </c>
      <c r="K44" s="255" t="e">
        <f t="shared" si="6"/>
        <v>#DIV/0!</v>
      </c>
      <c r="L44" s="255" t="e">
        <f t="shared" si="7"/>
        <v>#DIV/0!</v>
      </c>
      <c r="M44" s="255" t="e">
        <f t="shared" si="8"/>
        <v>#N/A</v>
      </c>
    </row>
    <row r="45" spans="1:13" ht="13.5">
      <c r="A45" s="260"/>
      <c r="B45" s="261"/>
      <c r="C45" s="262"/>
      <c r="D45" s="172"/>
      <c r="E45" s="255" t="e">
        <f t="shared" si="0"/>
        <v>#DIV/0!</v>
      </c>
      <c r="F45" s="255" t="e">
        <f t="shared" si="1"/>
        <v>#N/A</v>
      </c>
      <c r="G45" s="255" t="e">
        <f t="shared" si="2"/>
        <v>#N/A</v>
      </c>
      <c r="H45" s="255" t="e">
        <f t="shared" si="3"/>
        <v>#DIV/0!</v>
      </c>
      <c r="I45" s="255" t="e">
        <f t="shared" si="4"/>
        <v>#DIV/0!</v>
      </c>
      <c r="J45" s="255" t="e">
        <f t="shared" si="5"/>
        <v>#DIV/0!</v>
      </c>
      <c r="K45" s="255" t="e">
        <f t="shared" si="6"/>
        <v>#DIV/0!</v>
      </c>
      <c r="L45" s="255" t="e">
        <f t="shared" si="7"/>
        <v>#DIV/0!</v>
      </c>
      <c r="M45" s="255" t="e">
        <f t="shared" si="8"/>
        <v>#N/A</v>
      </c>
    </row>
    <row r="46" spans="1:13" ht="13.5">
      <c r="A46" s="260"/>
      <c r="B46" s="261"/>
      <c r="C46" s="262"/>
      <c r="D46" s="172"/>
      <c r="E46" s="255" t="e">
        <f t="shared" si="0"/>
        <v>#DIV/0!</v>
      </c>
      <c r="F46" s="255" t="e">
        <f t="shared" si="1"/>
        <v>#N/A</v>
      </c>
      <c r="G46" s="255" t="e">
        <f t="shared" si="2"/>
        <v>#N/A</v>
      </c>
      <c r="H46" s="255" t="e">
        <f t="shared" si="3"/>
        <v>#DIV/0!</v>
      </c>
      <c r="I46" s="255" t="e">
        <f t="shared" si="4"/>
        <v>#DIV/0!</v>
      </c>
      <c r="J46" s="255" t="e">
        <f t="shared" si="5"/>
        <v>#DIV/0!</v>
      </c>
      <c r="K46" s="255" t="e">
        <f t="shared" si="6"/>
        <v>#DIV/0!</v>
      </c>
      <c r="L46" s="255" t="e">
        <f t="shared" si="7"/>
        <v>#DIV/0!</v>
      </c>
      <c r="M46" s="255" t="e">
        <f t="shared" si="8"/>
        <v>#N/A</v>
      </c>
    </row>
    <row r="47" spans="1:13" ht="13.5">
      <c r="A47" s="260"/>
      <c r="B47" s="261"/>
      <c r="C47" s="262"/>
      <c r="D47" s="172"/>
      <c r="E47" s="255" t="e">
        <f t="shared" si="0"/>
        <v>#DIV/0!</v>
      </c>
      <c r="F47" s="255" t="e">
        <f t="shared" si="1"/>
        <v>#N/A</v>
      </c>
      <c r="G47" s="255" t="e">
        <f t="shared" si="2"/>
        <v>#N/A</v>
      </c>
      <c r="H47" s="255" t="e">
        <f t="shared" si="3"/>
        <v>#DIV/0!</v>
      </c>
      <c r="I47" s="255" t="e">
        <f t="shared" si="4"/>
        <v>#DIV/0!</v>
      </c>
      <c r="J47" s="255" t="e">
        <f t="shared" si="5"/>
        <v>#DIV/0!</v>
      </c>
      <c r="K47" s="255" t="e">
        <f t="shared" si="6"/>
        <v>#DIV/0!</v>
      </c>
      <c r="L47" s="255" t="e">
        <f t="shared" si="7"/>
        <v>#DIV/0!</v>
      </c>
      <c r="M47" s="255" t="e">
        <f t="shared" si="8"/>
        <v>#N/A</v>
      </c>
    </row>
    <row r="48" spans="1:13" ht="13.5">
      <c r="A48" s="260"/>
      <c r="B48" s="261"/>
      <c r="C48" s="262"/>
      <c r="D48" s="172"/>
      <c r="E48" s="255" t="e">
        <f t="shared" si="0"/>
        <v>#DIV/0!</v>
      </c>
      <c r="F48" s="255" t="e">
        <f t="shared" si="1"/>
        <v>#N/A</v>
      </c>
      <c r="G48" s="255" t="e">
        <f t="shared" si="2"/>
        <v>#N/A</v>
      </c>
      <c r="H48" s="255" t="e">
        <f t="shared" si="3"/>
        <v>#DIV/0!</v>
      </c>
      <c r="I48" s="255" t="e">
        <f t="shared" si="4"/>
        <v>#DIV/0!</v>
      </c>
      <c r="J48" s="255" t="e">
        <f t="shared" si="5"/>
        <v>#DIV/0!</v>
      </c>
      <c r="K48" s="255" t="e">
        <f t="shared" si="6"/>
        <v>#DIV/0!</v>
      </c>
      <c r="L48" s="255" t="e">
        <f t="shared" si="7"/>
        <v>#DIV/0!</v>
      </c>
      <c r="M48" s="255" t="e">
        <f t="shared" si="8"/>
        <v>#N/A</v>
      </c>
    </row>
    <row r="49" spans="1:13" ht="13.5">
      <c r="A49" s="260"/>
      <c r="B49" s="261"/>
      <c r="C49" s="262"/>
      <c r="D49" s="172"/>
      <c r="E49" s="255" t="e">
        <f t="shared" si="0"/>
        <v>#DIV/0!</v>
      </c>
      <c r="F49" s="255" t="e">
        <f t="shared" si="1"/>
        <v>#N/A</v>
      </c>
      <c r="G49" s="255" t="e">
        <f t="shared" si="2"/>
        <v>#N/A</v>
      </c>
      <c r="H49" s="255" t="e">
        <f t="shared" si="3"/>
        <v>#DIV/0!</v>
      </c>
      <c r="I49" s="255" t="e">
        <f t="shared" si="4"/>
        <v>#DIV/0!</v>
      </c>
      <c r="J49" s="255" t="e">
        <f t="shared" si="5"/>
        <v>#DIV/0!</v>
      </c>
      <c r="K49" s="255" t="e">
        <f t="shared" si="6"/>
        <v>#DIV/0!</v>
      </c>
      <c r="L49" s="255" t="e">
        <f t="shared" si="7"/>
        <v>#DIV/0!</v>
      </c>
      <c r="M49" s="255" t="e">
        <f t="shared" si="8"/>
        <v>#N/A</v>
      </c>
    </row>
    <row r="50" spans="1:13" ht="13.5">
      <c r="A50" s="260"/>
      <c r="B50" s="261"/>
      <c r="C50" s="262"/>
      <c r="D50" s="172"/>
      <c r="E50" s="255" t="e">
        <f t="shared" si="0"/>
        <v>#DIV/0!</v>
      </c>
      <c r="F50" s="255" t="e">
        <f t="shared" si="1"/>
        <v>#N/A</v>
      </c>
      <c r="G50" s="255" t="e">
        <f t="shared" si="2"/>
        <v>#N/A</v>
      </c>
      <c r="H50" s="255" t="e">
        <f t="shared" si="3"/>
        <v>#DIV/0!</v>
      </c>
      <c r="I50" s="255" t="e">
        <f t="shared" si="4"/>
        <v>#DIV/0!</v>
      </c>
      <c r="J50" s="255" t="e">
        <f t="shared" si="5"/>
        <v>#DIV/0!</v>
      </c>
      <c r="K50" s="255" t="e">
        <f t="shared" si="6"/>
        <v>#DIV/0!</v>
      </c>
      <c r="L50" s="255" t="e">
        <f t="shared" si="7"/>
        <v>#DIV/0!</v>
      </c>
      <c r="M50" s="255" t="e">
        <f t="shared" si="8"/>
        <v>#N/A</v>
      </c>
    </row>
    <row r="51" spans="1:13" ht="13.5">
      <c r="A51" s="260"/>
      <c r="B51" s="261"/>
      <c r="C51" s="262"/>
      <c r="D51" s="172"/>
      <c r="E51" s="255" t="e">
        <f t="shared" si="0"/>
        <v>#DIV/0!</v>
      </c>
      <c r="F51" s="255" t="e">
        <f t="shared" si="1"/>
        <v>#N/A</v>
      </c>
      <c r="G51" s="255" t="e">
        <f t="shared" si="2"/>
        <v>#N/A</v>
      </c>
      <c r="H51" s="255" t="e">
        <f t="shared" si="3"/>
        <v>#DIV/0!</v>
      </c>
      <c r="I51" s="255" t="e">
        <f t="shared" si="4"/>
        <v>#DIV/0!</v>
      </c>
      <c r="J51" s="255" t="e">
        <f t="shared" si="5"/>
        <v>#DIV/0!</v>
      </c>
      <c r="K51" s="255" t="e">
        <f t="shared" si="6"/>
        <v>#DIV/0!</v>
      </c>
      <c r="L51" s="255" t="e">
        <f t="shared" si="7"/>
        <v>#DIV/0!</v>
      </c>
      <c r="M51" s="255" t="e">
        <f t="shared" si="8"/>
        <v>#N/A</v>
      </c>
    </row>
    <row r="52" spans="1:13" ht="13.5">
      <c r="A52" s="260"/>
      <c r="B52" s="261"/>
      <c r="C52" s="262"/>
      <c r="D52" s="172"/>
      <c r="E52" s="255" t="e">
        <f t="shared" si="0"/>
        <v>#DIV/0!</v>
      </c>
      <c r="F52" s="255" t="e">
        <f t="shared" si="1"/>
        <v>#N/A</v>
      </c>
      <c r="G52" s="255" t="e">
        <f t="shared" si="2"/>
        <v>#N/A</v>
      </c>
      <c r="H52" s="255" t="e">
        <f t="shared" si="3"/>
        <v>#DIV/0!</v>
      </c>
      <c r="I52" s="255" t="e">
        <f t="shared" si="4"/>
        <v>#DIV/0!</v>
      </c>
      <c r="J52" s="255" t="e">
        <f t="shared" si="5"/>
        <v>#DIV/0!</v>
      </c>
      <c r="K52" s="255" t="e">
        <f t="shared" si="6"/>
        <v>#DIV/0!</v>
      </c>
      <c r="L52" s="255" t="e">
        <f t="shared" si="7"/>
        <v>#DIV/0!</v>
      </c>
      <c r="M52" s="255" t="e">
        <f t="shared" si="8"/>
        <v>#N/A</v>
      </c>
    </row>
    <row r="53" spans="1:13" ht="13.5">
      <c r="A53" s="260"/>
      <c r="B53" s="261"/>
      <c r="C53" s="262"/>
      <c r="D53" s="172"/>
      <c r="E53" s="255" t="e">
        <f t="shared" ref="E53:E81" si="9">B53/C53</f>
        <v>#DIV/0!</v>
      </c>
      <c r="F53" s="255" t="e">
        <f t="shared" ref="F53:F81" si="10">IF(LEFT(D53,4)="一致预期",E53,NA())</f>
        <v>#N/A</v>
      </c>
      <c r="G53" s="255" t="e">
        <f t="shared" ref="G53:G81" si="11">IF(ISNUMBER(SEARCH("实际",D53)),E53,NA())</f>
        <v>#N/A</v>
      </c>
      <c r="H53" s="255" t="e">
        <f t="shared" ref="H53:H81" si="12">$C$5</f>
        <v>#DIV/0!</v>
      </c>
      <c r="I53" s="255" t="e">
        <f t="shared" ref="I53:I81" si="13">$C$7</f>
        <v>#DIV/0!</v>
      </c>
      <c r="J53" s="255" t="e">
        <f t="shared" ref="J53:J81" si="14">$C$8</f>
        <v>#DIV/0!</v>
      </c>
      <c r="K53" s="255" t="e">
        <f t="shared" ref="K53:K81" si="15">$C$9</f>
        <v>#DIV/0!</v>
      </c>
      <c r="L53" s="255" t="e">
        <f t="shared" ref="L53:L81" si="16">$C$10</f>
        <v>#DIV/0!</v>
      </c>
      <c r="M53" s="255" t="e">
        <f t="shared" ref="M53:M81" si="17">IF(ROW()=81,$C$16,NA())</f>
        <v>#N/A</v>
      </c>
    </row>
    <row r="54" spans="1:13" ht="13.5">
      <c r="A54" s="260"/>
      <c r="B54" s="261"/>
      <c r="C54" s="262"/>
      <c r="D54" s="172"/>
      <c r="E54" s="255" t="e">
        <f t="shared" si="9"/>
        <v>#DIV/0!</v>
      </c>
      <c r="F54" s="255" t="e">
        <f t="shared" si="10"/>
        <v>#N/A</v>
      </c>
      <c r="G54" s="255" t="e">
        <f t="shared" si="11"/>
        <v>#N/A</v>
      </c>
      <c r="H54" s="255" t="e">
        <f t="shared" si="12"/>
        <v>#DIV/0!</v>
      </c>
      <c r="I54" s="255" t="e">
        <f t="shared" si="13"/>
        <v>#DIV/0!</v>
      </c>
      <c r="J54" s="255" t="e">
        <f t="shared" si="14"/>
        <v>#DIV/0!</v>
      </c>
      <c r="K54" s="255" t="e">
        <f t="shared" si="15"/>
        <v>#DIV/0!</v>
      </c>
      <c r="L54" s="255" t="e">
        <f t="shared" si="16"/>
        <v>#DIV/0!</v>
      </c>
      <c r="M54" s="255" t="e">
        <f t="shared" si="17"/>
        <v>#N/A</v>
      </c>
    </row>
    <row r="55" spans="1:13" ht="13.5">
      <c r="A55" s="260"/>
      <c r="B55" s="261"/>
      <c r="C55" s="262"/>
      <c r="D55" s="172"/>
      <c r="E55" s="255" t="e">
        <f t="shared" si="9"/>
        <v>#DIV/0!</v>
      </c>
      <c r="F55" s="255" t="e">
        <f t="shared" si="10"/>
        <v>#N/A</v>
      </c>
      <c r="G55" s="255" t="e">
        <f t="shared" si="11"/>
        <v>#N/A</v>
      </c>
      <c r="H55" s="255" t="e">
        <f t="shared" si="12"/>
        <v>#DIV/0!</v>
      </c>
      <c r="I55" s="255" t="e">
        <f t="shared" si="13"/>
        <v>#DIV/0!</v>
      </c>
      <c r="J55" s="255" t="e">
        <f t="shared" si="14"/>
        <v>#DIV/0!</v>
      </c>
      <c r="K55" s="255" t="e">
        <f t="shared" si="15"/>
        <v>#DIV/0!</v>
      </c>
      <c r="L55" s="255" t="e">
        <f t="shared" si="16"/>
        <v>#DIV/0!</v>
      </c>
      <c r="M55" s="255" t="e">
        <f t="shared" si="17"/>
        <v>#N/A</v>
      </c>
    </row>
    <row r="56" spans="1:13" ht="13.5">
      <c r="A56" s="260"/>
      <c r="B56" s="261"/>
      <c r="C56" s="262"/>
      <c r="D56" s="172"/>
      <c r="E56" s="255" t="e">
        <f t="shared" si="9"/>
        <v>#DIV/0!</v>
      </c>
      <c r="F56" s="255" t="e">
        <f t="shared" si="10"/>
        <v>#N/A</v>
      </c>
      <c r="G56" s="255" t="e">
        <f t="shared" si="11"/>
        <v>#N/A</v>
      </c>
      <c r="H56" s="255" t="e">
        <f t="shared" si="12"/>
        <v>#DIV/0!</v>
      </c>
      <c r="I56" s="255" t="e">
        <f t="shared" si="13"/>
        <v>#DIV/0!</v>
      </c>
      <c r="J56" s="255" t="e">
        <f t="shared" si="14"/>
        <v>#DIV/0!</v>
      </c>
      <c r="K56" s="255" t="e">
        <f t="shared" si="15"/>
        <v>#DIV/0!</v>
      </c>
      <c r="L56" s="255" t="e">
        <f t="shared" si="16"/>
        <v>#DIV/0!</v>
      </c>
      <c r="M56" s="255" t="e">
        <f t="shared" si="17"/>
        <v>#N/A</v>
      </c>
    </row>
    <row r="57" spans="1:13" ht="13.5">
      <c r="A57" s="260"/>
      <c r="B57" s="261"/>
      <c r="C57" s="262"/>
      <c r="D57" s="172"/>
      <c r="E57" s="255" t="e">
        <f t="shared" si="9"/>
        <v>#DIV/0!</v>
      </c>
      <c r="F57" s="255" t="e">
        <f t="shared" si="10"/>
        <v>#N/A</v>
      </c>
      <c r="G57" s="255" t="e">
        <f t="shared" si="11"/>
        <v>#N/A</v>
      </c>
      <c r="H57" s="255" t="e">
        <f t="shared" si="12"/>
        <v>#DIV/0!</v>
      </c>
      <c r="I57" s="255" t="e">
        <f t="shared" si="13"/>
        <v>#DIV/0!</v>
      </c>
      <c r="J57" s="255" t="e">
        <f t="shared" si="14"/>
        <v>#DIV/0!</v>
      </c>
      <c r="K57" s="255" t="e">
        <f t="shared" si="15"/>
        <v>#DIV/0!</v>
      </c>
      <c r="L57" s="255" t="e">
        <f t="shared" si="16"/>
        <v>#DIV/0!</v>
      </c>
      <c r="M57" s="255" t="e">
        <f t="shared" si="17"/>
        <v>#N/A</v>
      </c>
    </row>
    <row r="58" spans="1:13" ht="13.5">
      <c r="A58" s="260"/>
      <c r="B58" s="261"/>
      <c r="C58" s="262"/>
      <c r="D58" s="172"/>
      <c r="E58" s="255" t="e">
        <f t="shared" si="9"/>
        <v>#DIV/0!</v>
      </c>
      <c r="F58" s="255" t="e">
        <f t="shared" si="10"/>
        <v>#N/A</v>
      </c>
      <c r="G58" s="255" t="e">
        <f t="shared" si="11"/>
        <v>#N/A</v>
      </c>
      <c r="H58" s="255" t="e">
        <f t="shared" si="12"/>
        <v>#DIV/0!</v>
      </c>
      <c r="I58" s="255" t="e">
        <f t="shared" si="13"/>
        <v>#DIV/0!</v>
      </c>
      <c r="J58" s="255" t="e">
        <f t="shared" si="14"/>
        <v>#DIV/0!</v>
      </c>
      <c r="K58" s="255" t="e">
        <f t="shared" si="15"/>
        <v>#DIV/0!</v>
      </c>
      <c r="L58" s="255" t="e">
        <f t="shared" si="16"/>
        <v>#DIV/0!</v>
      </c>
      <c r="M58" s="255" t="e">
        <f t="shared" si="17"/>
        <v>#N/A</v>
      </c>
    </row>
    <row r="59" spans="1:13" ht="13.5">
      <c r="A59" s="260"/>
      <c r="B59" s="261"/>
      <c r="C59" s="262"/>
      <c r="D59" s="172"/>
      <c r="E59" s="255" t="e">
        <f t="shared" si="9"/>
        <v>#DIV/0!</v>
      </c>
      <c r="F59" s="255" t="e">
        <f t="shared" si="10"/>
        <v>#N/A</v>
      </c>
      <c r="G59" s="255" t="e">
        <f t="shared" si="11"/>
        <v>#N/A</v>
      </c>
      <c r="H59" s="255" t="e">
        <f t="shared" si="12"/>
        <v>#DIV/0!</v>
      </c>
      <c r="I59" s="255" t="e">
        <f t="shared" si="13"/>
        <v>#DIV/0!</v>
      </c>
      <c r="J59" s="255" t="e">
        <f t="shared" si="14"/>
        <v>#DIV/0!</v>
      </c>
      <c r="K59" s="255" t="e">
        <f t="shared" si="15"/>
        <v>#DIV/0!</v>
      </c>
      <c r="L59" s="255" t="e">
        <f t="shared" si="16"/>
        <v>#DIV/0!</v>
      </c>
      <c r="M59" s="255" t="e">
        <f t="shared" si="17"/>
        <v>#N/A</v>
      </c>
    </row>
    <row r="60" spans="1:13" ht="13.5">
      <c r="A60" s="260"/>
      <c r="B60" s="263"/>
      <c r="C60" s="262"/>
      <c r="D60" s="172"/>
      <c r="E60" s="255" t="e">
        <f t="shared" si="9"/>
        <v>#DIV/0!</v>
      </c>
      <c r="F60" s="255" t="e">
        <f t="shared" si="10"/>
        <v>#N/A</v>
      </c>
      <c r="G60" s="255" t="e">
        <f t="shared" si="11"/>
        <v>#N/A</v>
      </c>
      <c r="H60" s="255" t="e">
        <f t="shared" si="12"/>
        <v>#DIV/0!</v>
      </c>
      <c r="I60" s="255" t="e">
        <f t="shared" si="13"/>
        <v>#DIV/0!</v>
      </c>
      <c r="J60" s="255" t="e">
        <f t="shared" si="14"/>
        <v>#DIV/0!</v>
      </c>
      <c r="K60" s="255" t="e">
        <f t="shared" si="15"/>
        <v>#DIV/0!</v>
      </c>
      <c r="L60" s="255" t="e">
        <f t="shared" si="16"/>
        <v>#DIV/0!</v>
      </c>
      <c r="M60" s="255" t="e">
        <f t="shared" si="17"/>
        <v>#N/A</v>
      </c>
    </row>
    <row r="61" spans="1:13" ht="13.5">
      <c r="A61" s="260"/>
      <c r="B61" s="261"/>
      <c r="C61" s="262"/>
      <c r="D61" s="172"/>
      <c r="E61" s="255" t="e">
        <f t="shared" si="9"/>
        <v>#DIV/0!</v>
      </c>
      <c r="F61" s="255" t="e">
        <f t="shared" si="10"/>
        <v>#N/A</v>
      </c>
      <c r="G61" s="255" t="e">
        <f t="shared" si="11"/>
        <v>#N/A</v>
      </c>
      <c r="H61" s="255" t="e">
        <f t="shared" si="12"/>
        <v>#DIV/0!</v>
      </c>
      <c r="I61" s="255" t="e">
        <f t="shared" si="13"/>
        <v>#DIV/0!</v>
      </c>
      <c r="J61" s="255" t="e">
        <f t="shared" si="14"/>
        <v>#DIV/0!</v>
      </c>
      <c r="K61" s="255" t="e">
        <f t="shared" si="15"/>
        <v>#DIV/0!</v>
      </c>
      <c r="L61" s="255" t="e">
        <f t="shared" si="16"/>
        <v>#DIV/0!</v>
      </c>
      <c r="M61" s="255" t="e">
        <f t="shared" si="17"/>
        <v>#N/A</v>
      </c>
    </row>
    <row r="62" spans="1:13" ht="13.5">
      <c r="A62" s="260"/>
      <c r="B62" s="261"/>
      <c r="C62" s="262"/>
      <c r="D62" s="172"/>
      <c r="E62" s="255" t="e">
        <f t="shared" si="9"/>
        <v>#DIV/0!</v>
      </c>
      <c r="F62" s="255" t="e">
        <f t="shared" si="10"/>
        <v>#N/A</v>
      </c>
      <c r="G62" s="255" t="e">
        <f t="shared" si="11"/>
        <v>#N/A</v>
      </c>
      <c r="H62" s="255" t="e">
        <f t="shared" si="12"/>
        <v>#DIV/0!</v>
      </c>
      <c r="I62" s="255" t="e">
        <f t="shared" si="13"/>
        <v>#DIV/0!</v>
      </c>
      <c r="J62" s="255" t="e">
        <f t="shared" si="14"/>
        <v>#DIV/0!</v>
      </c>
      <c r="K62" s="255" t="e">
        <f t="shared" si="15"/>
        <v>#DIV/0!</v>
      </c>
      <c r="L62" s="255" t="e">
        <f t="shared" si="16"/>
        <v>#DIV/0!</v>
      </c>
      <c r="M62" s="255" t="e">
        <f t="shared" si="17"/>
        <v>#N/A</v>
      </c>
    </row>
    <row r="63" spans="1:13" ht="13.5">
      <c r="A63" s="260"/>
      <c r="B63" s="261"/>
      <c r="C63" s="262"/>
      <c r="D63" s="172"/>
      <c r="E63" s="255" t="e">
        <f t="shared" si="9"/>
        <v>#DIV/0!</v>
      </c>
      <c r="F63" s="255" t="e">
        <f t="shared" si="10"/>
        <v>#N/A</v>
      </c>
      <c r="G63" s="255" t="e">
        <f t="shared" si="11"/>
        <v>#N/A</v>
      </c>
      <c r="H63" s="255" t="e">
        <f t="shared" si="12"/>
        <v>#DIV/0!</v>
      </c>
      <c r="I63" s="255" t="e">
        <f t="shared" si="13"/>
        <v>#DIV/0!</v>
      </c>
      <c r="J63" s="255" t="e">
        <f t="shared" si="14"/>
        <v>#DIV/0!</v>
      </c>
      <c r="K63" s="255" t="e">
        <f t="shared" si="15"/>
        <v>#DIV/0!</v>
      </c>
      <c r="L63" s="255" t="e">
        <f t="shared" si="16"/>
        <v>#DIV/0!</v>
      </c>
      <c r="M63" s="255" t="e">
        <f t="shared" si="17"/>
        <v>#N/A</v>
      </c>
    </row>
    <row r="64" spans="1:13" ht="13.5">
      <c r="A64" s="260"/>
      <c r="B64" s="261"/>
      <c r="C64" s="262"/>
      <c r="D64" s="172"/>
      <c r="E64" s="255" t="e">
        <f t="shared" si="9"/>
        <v>#DIV/0!</v>
      </c>
      <c r="F64" s="255" t="e">
        <f t="shared" si="10"/>
        <v>#N/A</v>
      </c>
      <c r="G64" s="255" t="e">
        <f t="shared" si="11"/>
        <v>#N/A</v>
      </c>
      <c r="H64" s="255" t="e">
        <f t="shared" si="12"/>
        <v>#DIV/0!</v>
      </c>
      <c r="I64" s="255" t="e">
        <f t="shared" si="13"/>
        <v>#DIV/0!</v>
      </c>
      <c r="J64" s="255" t="e">
        <f t="shared" si="14"/>
        <v>#DIV/0!</v>
      </c>
      <c r="K64" s="255" t="e">
        <f t="shared" si="15"/>
        <v>#DIV/0!</v>
      </c>
      <c r="L64" s="255" t="e">
        <f t="shared" si="16"/>
        <v>#DIV/0!</v>
      </c>
      <c r="M64" s="255" t="e">
        <f t="shared" si="17"/>
        <v>#N/A</v>
      </c>
    </row>
    <row r="65" spans="1:13" ht="13.5">
      <c r="A65" s="260"/>
      <c r="B65" s="261"/>
      <c r="C65" s="262"/>
      <c r="D65" s="172"/>
      <c r="E65" s="255" t="e">
        <f t="shared" si="9"/>
        <v>#DIV/0!</v>
      </c>
      <c r="F65" s="255" t="e">
        <f t="shared" si="10"/>
        <v>#N/A</v>
      </c>
      <c r="G65" s="255" t="e">
        <f t="shared" si="11"/>
        <v>#N/A</v>
      </c>
      <c r="H65" s="255" t="e">
        <f t="shared" si="12"/>
        <v>#DIV/0!</v>
      </c>
      <c r="I65" s="255" t="e">
        <f t="shared" si="13"/>
        <v>#DIV/0!</v>
      </c>
      <c r="J65" s="255" t="e">
        <f t="shared" si="14"/>
        <v>#DIV/0!</v>
      </c>
      <c r="K65" s="255" t="e">
        <f t="shared" si="15"/>
        <v>#DIV/0!</v>
      </c>
      <c r="L65" s="255" t="e">
        <f t="shared" si="16"/>
        <v>#DIV/0!</v>
      </c>
      <c r="M65" s="255" t="e">
        <f t="shared" si="17"/>
        <v>#N/A</v>
      </c>
    </row>
    <row r="66" spans="1:13" ht="13.5">
      <c r="A66" s="260"/>
      <c r="B66" s="261"/>
      <c r="C66" s="262"/>
      <c r="D66" s="172"/>
      <c r="E66" s="255" t="e">
        <f t="shared" si="9"/>
        <v>#DIV/0!</v>
      </c>
      <c r="F66" s="255" t="e">
        <f t="shared" si="10"/>
        <v>#N/A</v>
      </c>
      <c r="G66" s="255" t="e">
        <f t="shared" si="11"/>
        <v>#N/A</v>
      </c>
      <c r="H66" s="255" t="e">
        <f t="shared" si="12"/>
        <v>#DIV/0!</v>
      </c>
      <c r="I66" s="255" t="e">
        <f t="shared" si="13"/>
        <v>#DIV/0!</v>
      </c>
      <c r="J66" s="255" t="e">
        <f t="shared" si="14"/>
        <v>#DIV/0!</v>
      </c>
      <c r="K66" s="255" t="e">
        <f t="shared" si="15"/>
        <v>#DIV/0!</v>
      </c>
      <c r="L66" s="255" t="e">
        <f t="shared" si="16"/>
        <v>#DIV/0!</v>
      </c>
      <c r="M66" s="255" t="e">
        <f t="shared" si="17"/>
        <v>#N/A</v>
      </c>
    </row>
    <row r="67" spans="1:13" ht="13.5">
      <c r="A67" s="260"/>
      <c r="B67" s="261"/>
      <c r="C67" s="262"/>
      <c r="D67" s="172"/>
      <c r="E67" s="255" t="e">
        <f t="shared" si="9"/>
        <v>#DIV/0!</v>
      </c>
      <c r="F67" s="255" t="e">
        <f t="shared" si="10"/>
        <v>#N/A</v>
      </c>
      <c r="G67" s="255" t="e">
        <f t="shared" si="11"/>
        <v>#N/A</v>
      </c>
      <c r="H67" s="255" t="e">
        <f t="shared" si="12"/>
        <v>#DIV/0!</v>
      </c>
      <c r="I67" s="255" t="e">
        <f t="shared" si="13"/>
        <v>#DIV/0!</v>
      </c>
      <c r="J67" s="255" t="e">
        <f t="shared" si="14"/>
        <v>#DIV/0!</v>
      </c>
      <c r="K67" s="255" t="e">
        <f t="shared" si="15"/>
        <v>#DIV/0!</v>
      </c>
      <c r="L67" s="255" t="e">
        <f t="shared" si="16"/>
        <v>#DIV/0!</v>
      </c>
      <c r="M67" s="255" t="e">
        <f t="shared" si="17"/>
        <v>#N/A</v>
      </c>
    </row>
    <row r="68" spans="1:13" ht="13.5">
      <c r="A68" s="260"/>
      <c r="B68" s="261"/>
      <c r="C68" s="262"/>
      <c r="D68" s="172"/>
      <c r="E68" s="255" t="e">
        <f t="shared" si="9"/>
        <v>#DIV/0!</v>
      </c>
      <c r="F68" s="255" t="e">
        <f t="shared" si="10"/>
        <v>#N/A</v>
      </c>
      <c r="G68" s="255" t="e">
        <f t="shared" si="11"/>
        <v>#N/A</v>
      </c>
      <c r="H68" s="255" t="e">
        <f t="shared" si="12"/>
        <v>#DIV/0!</v>
      </c>
      <c r="I68" s="255" t="e">
        <f t="shared" si="13"/>
        <v>#DIV/0!</v>
      </c>
      <c r="J68" s="255" t="e">
        <f t="shared" si="14"/>
        <v>#DIV/0!</v>
      </c>
      <c r="K68" s="255" t="e">
        <f t="shared" si="15"/>
        <v>#DIV/0!</v>
      </c>
      <c r="L68" s="255" t="e">
        <f t="shared" si="16"/>
        <v>#DIV/0!</v>
      </c>
      <c r="M68" s="255" t="e">
        <f t="shared" si="17"/>
        <v>#N/A</v>
      </c>
    </row>
    <row r="69" spans="1:13" ht="13.5">
      <c r="A69" s="260"/>
      <c r="B69" s="261"/>
      <c r="C69" s="262"/>
      <c r="D69" s="172"/>
      <c r="E69" s="255" t="e">
        <f t="shared" si="9"/>
        <v>#DIV/0!</v>
      </c>
      <c r="F69" s="255" t="e">
        <f t="shared" si="10"/>
        <v>#N/A</v>
      </c>
      <c r="G69" s="255" t="e">
        <f t="shared" si="11"/>
        <v>#N/A</v>
      </c>
      <c r="H69" s="255" t="e">
        <f t="shared" si="12"/>
        <v>#DIV/0!</v>
      </c>
      <c r="I69" s="255" t="e">
        <f t="shared" si="13"/>
        <v>#DIV/0!</v>
      </c>
      <c r="J69" s="255" t="e">
        <f t="shared" si="14"/>
        <v>#DIV/0!</v>
      </c>
      <c r="K69" s="255" t="e">
        <f t="shared" si="15"/>
        <v>#DIV/0!</v>
      </c>
      <c r="L69" s="255" t="e">
        <f t="shared" si="16"/>
        <v>#DIV/0!</v>
      </c>
      <c r="M69" s="255" t="e">
        <f t="shared" si="17"/>
        <v>#N/A</v>
      </c>
    </row>
    <row r="70" spans="1:13" ht="13.5">
      <c r="A70" s="260"/>
      <c r="B70" s="261"/>
      <c r="C70" s="262"/>
      <c r="D70" s="172"/>
      <c r="E70" s="255" t="e">
        <f t="shared" si="9"/>
        <v>#DIV/0!</v>
      </c>
      <c r="F70" s="255" t="e">
        <f t="shared" si="10"/>
        <v>#N/A</v>
      </c>
      <c r="G70" s="255" t="e">
        <f t="shared" si="11"/>
        <v>#N/A</v>
      </c>
      <c r="H70" s="255" t="e">
        <f t="shared" si="12"/>
        <v>#DIV/0!</v>
      </c>
      <c r="I70" s="255" t="e">
        <f t="shared" si="13"/>
        <v>#DIV/0!</v>
      </c>
      <c r="J70" s="255" t="e">
        <f t="shared" si="14"/>
        <v>#DIV/0!</v>
      </c>
      <c r="K70" s="255" t="e">
        <f t="shared" si="15"/>
        <v>#DIV/0!</v>
      </c>
      <c r="L70" s="255" t="e">
        <f t="shared" si="16"/>
        <v>#DIV/0!</v>
      </c>
      <c r="M70" s="255" t="e">
        <f t="shared" si="17"/>
        <v>#N/A</v>
      </c>
    </row>
    <row r="71" spans="1:13" ht="13.5">
      <c r="A71" s="260"/>
      <c r="B71" s="261"/>
      <c r="C71" s="262"/>
      <c r="D71" s="172"/>
      <c r="E71" s="255" t="e">
        <f t="shared" si="9"/>
        <v>#DIV/0!</v>
      </c>
      <c r="F71" s="255" t="e">
        <f t="shared" si="10"/>
        <v>#N/A</v>
      </c>
      <c r="G71" s="255" t="e">
        <f t="shared" si="11"/>
        <v>#N/A</v>
      </c>
      <c r="H71" s="255" t="e">
        <f t="shared" si="12"/>
        <v>#DIV/0!</v>
      </c>
      <c r="I71" s="255" t="e">
        <f t="shared" si="13"/>
        <v>#DIV/0!</v>
      </c>
      <c r="J71" s="255" t="e">
        <f t="shared" si="14"/>
        <v>#DIV/0!</v>
      </c>
      <c r="K71" s="255" t="e">
        <f t="shared" si="15"/>
        <v>#DIV/0!</v>
      </c>
      <c r="L71" s="255" t="e">
        <f t="shared" si="16"/>
        <v>#DIV/0!</v>
      </c>
      <c r="M71" s="255" t="e">
        <f t="shared" si="17"/>
        <v>#N/A</v>
      </c>
    </row>
    <row r="72" spans="1:13" ht="13.5">
      <c r="A72" s="260"/>
      <c r="B72" s="261"/>
      <c r="C72" s="262"/>
      <c r="D72" s="172"/>
      <c r="E72" s="255" t="e">
        <f t="shared" si="9"/>
        <v>#DIV/0!</v>
      </c>
      <c r="F72" s="255" t="e">
        <f t="shared" si="10"/>
        <v>#N/A</v>
      </c>
      <c r="G72" s="255" t="e">
        <f t="shared" si="11"/>
        <v>#N/A</v>
      </c>
      <c r="H72" s="255" t="e">
        <f t="shared" si="12"/>
        <v>#DIV/0!</v>
      </c>
      <c r="I72" s="255" t="e">
        <f t="shared" si="13"/>
        <v>#DIV/0!</v>
      </c>
      <c r="J72" s="255" t="e">
        <f t="shared" si="14"/>
        <v>#DIV/0!</v>
      </c>
      <c r="K72" s="255" t="e">
        <f t="shared" si="15"/>
        <v>#DIV/0!</v>
      </c>
      <c r="L72" s="255" t="e">
        <f t="shared" si="16"/>
        <v>#DIV/0!</v>
      </c>
      <c r="M72" s="255" t="e">
        <f t="shared" si="17"/>
        <v>#N/A</v>
      </c>
    </row>
    <row r="73" spans="1:13" ht="13.5">
      <c r="A73" s="260"/>
      <c r="B73" s="261"/>
      <c r="C73" s="262"/>
      <c r="D73" s="172"/>
      <c r="E73" s="255" t="e">
        <f t="shared" si="9"/>
        <v>#DIV/0!</v>
      </c>
      <c r="F73" s="255" t="e">
        <f t="shared" si="10"/>
        <v>#N/A</v>
      </c>
      <c r="G73" s="255" t="e">
        <f t="shared" si="11"/>
        <v>#N/A</v>
      </c>
      <c r="H73" s="255" t="e">
        <f t="shared" si="12"/>
        <v>#DIV/0!</v>
      </c>
      <c r="I73" s="255" t="e">
        <f t="shared" si="13"/>
        <v>#DIV/0!</v>
      </c>
      <c r="J73" s="255" t="e">
        <f t="shared" si="14"/>
        <v>#DIV/0!</v>
      </c>
      <c r="K73" s="255" t="e">
        <f t="shared" si="15"/>
        <v>#DIV/0!</v>
      </c>
      <c r="L73" s="255" t="e">
        <f t="shared" si="16"/>
        <v>#DIV/0!</v>
      </c>
      <c r="M73" s="255" t="e">
        <f t="shared" si="17"/>
        <v>#N/A</v>
      </c>
    </row>
    <row r="74" spans="1:13" ht="13.5">
      <c r="A74" s="260"/>
      <c r="B74" s="261"/>
      <c r="C74" s="262"/>
      <c r="D74" s="172"/>
      <c r="E74" s="255" t="e">
        <f t="shared" si="9"/>
        <v>#DIV/0!</v>
      </c>
      <c r="F74" s="255" t="e">
        <f t="shared" si="10"/>
        <v>#N/A</v>
      </c>
      <c r="G74" s="255" t="e">
        <f t="shared" si="11"/>
        <v>#N/A</v>
      </c>
      <c r="H74" s="255" t="e">
        <f t="shared" si="12"/>
        <v>#DIV/0!</v>
      </c>
      <c r="I74" s="255" t="e">
        <f t="shared" si="13"/>
        <v>#DIV/0!</v>
      </c>
      <c r="J74" s="255" t="e">
        <f t="shared" si="14"/>
        <v>#DIV/0!</v>
      </c>
      <c r="K74" s="255" t="e">
        <f t="shared" si="15"/>
        <v>#DIV/0!</v>
      </c>
      <c r="L74" s="255" t="e">
        <f t="shared" si="16"/>
        <v>#DIV/0!</v>
      </c>
      <c r="M74" s="255" t="e">
        <f t="shared" si="17"/>
        <v>#N/A</v>
      </c>
    </row>
    <row r="75" spans="1:13" ht="13.5">
      <c r="A75" s="260"/>
      <c r="B75" s="261"/>
      <c r="C75" s="262"/>
      <c r="D75" s="172"/>
      <c r="E75" s="255" t="e">
        <f t="shared" si="9"/>
        <v>#DIV/0!</v>
      </c>
      <c r="F75" s="255" t="e">
        <f t="shared" si="10"/>
        <v>#N/A</v>
      </c>
      <c r="G75" s="255" t="e">
        <f t="shared" si="11"/>
        <v>#N/A</v>
      </c>
      <c r="H75" s="255" t="e">
        <f t="shared" si="12"/>
        <v>#DIV/0!</v>
      </c>
      <c r="I75" s="255" t="e">
        <f t="shared" si="13"/>
        <v>#DIV/0!</v>
      </c>
      <c r="J75" s="255" t="e">
        <f t="shared" si="14"/>
        <v>#DIV/0!</v>
      </c>
      <c r="K75" s="255" t="e">
        <f t="shared" si="15"/>
        <v>#DIV/0!</v>
      </c>
      <c r="L75" s="255" t="e">
        <f t="shared" si="16"/>
        <v>#DIV/0!</v>
      </c>
      <c r="M75" s="255" t="e">
        <f t="shared" si="17"/>
        <v>#N/A</v>
      </c>
    </row>
    <row r="76" spans="1:13" ht="13.5">
      <c r="A76" s="260"/>
      <c r="B76" s="261"/>
      <c r="C76" s="262"/>
      <c r="D76" s="172"/>
      <c r="E76" s="255" t="e">
        <f t="shared" si="9"/>
        <v>#DIV/0!</v>
      </c>
      <c r="F76" s="255" t="e">
        <f t="shared" si="10"/>
        <v>#N/A</v>
      </c>
      <c r="G76" s="255" t="e">
        <f t="shared" si="11"/>
        <v>#N/A</v>
      </c>
      <c r="H76" s="255" t="e">
        <f t="shared" si="12"/>
        <v>#DIV/0!</v>
      </c>
      <c r="I76" s="255" t="e">
        <f t="shared" si="13"/>
        <v>#DIV/0!</v>
      </c>
      <c r="J76" s="255" t="e">
        <f t="shared" si="14"/>
        <v>#DIV/0!</v>
      </c>
      <c r="K76" s="255" t="e">
        <f t="shared" si="15"/>
        <v>#DIV/0!</v>
      </c>
      <c r="L76" s="255" t="e">
        <f t="shared" si="16"/>
        <v>#DIV/0!</v>
      </c>
      <c r="M76" s="255" t="e">
        <f t="shared" si="17"/>
        <v>#N/A</v>
      </c>
    </row>
    <row r="77" spans="1:13" ht="13.5">
      <c r="A77" s="260"/>
      <c r="B77" s="261"/>
      <c r="C77" s="262"/>
      <c r="D77" s="172"/>
      <c r="E77" s="255" t="e">
        <f t="shared" si="9"/>
        <v>#DIV/0!</v>
      </c>
      <c r="F77" s="255" t="e">
        <f t="shared" si="10"/>
        <v>#N/A</v>
      </c>
      <c r="G77" s="255" t="e">
        <f t="shared" si="11"/>
        <v>#N/A</v>
      </c>
      <c r="H77" s="255" t="e">
        <f t="shared" si="12"/>
        <v>#DIV/0!</v>
      </c>
      <c r="I77" s="255" t="e">
        <f t="shared" si="13"/>
        <v>#DIV/0!</v>
      </c>
      <c r="J77" s="255" t="e">
        <f t="shared" si="14"/>
        <v>#DIV/0!</v>
      </c>
      <c r="K77" s="255" t="e">
        <f t="shared" si="15"/>
        <v>#DIV/0!</v>
      </c>
      <c r="L77" s="255" t="e">
        <f t="shared" si="16"/>
        <v>#DIV/0!</v>
      </c>
      <c r="M77" s="255" t="e">
        <f t="shared" si="17"/>
        <v>#N/A</v>
      </c>
    </row>
    <row r="78" spans="1:13" ht="13.5">
      <c r="A78" s="260"/>
      <c r="B78" s="261"/>
      <c r="C78" s="262"/>
      <c r="D78" s="172"/>
      <c r="E78" s="255" t="e">
        <f t="shared" si="9"/>
        <v>#DIV/0!</v>
      </c>
      <c r="F78" s="255" t="e">
        <f t="shared" si="10"/>
        <v>#N/A</v>
      </c>
      <c r="G78" s="255" t="e">
        <f t="shared" si="11"/>
        <v>#N/A</v>
      </c>
      <c r="H78" s="255" t="e">
        <f t="shared" si="12"/>
        <v>#DIV/0!</v>
      </c>
      <c r="I78" s="255" t="e">
        <f t="shared" si="13"/>
        <v>#DIV/0!</v>
      </c>
      <c r="J78" s="255" t="e">
        <f t="shared" si="14"/>
        <v>#DIV/0!</v>
      </c>
      <c r="K78" s="255" t="e">
        <f t="shared" si="15"/>
        <v>#DIV/0!</v>
      </c>
      <c r="L78" s="255" t="e">
        <f t="shared" si="16"/>
        <v>#DIV/0!</v>
      </c>
      <c r="M78" s="255" t="e">
        <f t="shared" si="17"/>
        <v>#N/A</v>
      </c>
    </row>
    <row r="79" spans="1:13" ht="13.5">
      <c r="A79" s="260"/>
      <c r="B79" s="261"/>
      <c r="C79" s="262"/>
      <c r="D79" s="172"/>
      <c r="E79" s="255" t="e">
        <f t="shared" si="9"/>
        <v>#DIV/0!</v>
      </c>
      <c r="F79" s="255" t="e">
        <f t="shared" si="10"/>
        <v>#N/A</v>
      </c>
      <c r="G79" s="255" t="e">
        <f t="shared" si="11"/>
        <v>#N/A</v>
      </c>
      <c r="H79" s="255" t="e">
        <f t="shared" si="12"/>
        <v>#DIV/0!</v>
      </c>
      <c r="I79" s="255" t="e">
        <f t="shared" si="13"/>
        <v>#DIV/0!</v>
      </c>
      <c r="J79" s="255" t="e">
        <f t="shared" si="14"/>
        <v>#DIV/0!</v>
      </c>
      <c r="K79" s="255" t="e">
        <f t="shared" si="15"/>
        <v>#DIV/0!</v>
      </c>
      <c r="L79" s="255" t="e">
        <f t="shared" si="16"/>
        <v>#DIV/0!</v>
      </c>
      <c r="M79" s="255" t="e">
        <f t="shared" si="17"/>
        <v>#N/A</v>
      </c>
    </row>
    <row r="80" spans="1:13" ht="13.5">
      <c r="A80" s="260"/>
      <c r="B80" s="261"/>
      <c r="C80" s="262"/>
      <c r="D80" s="172"/>
      <c r="E80" s="255" t="e">
        <f t="shared" si="9"/>
        <v>#DIV/0!</v>
      </c>
      <c r="F80" s="255" t="e">
        <f t="shared" si="10"/>
        <v>#N/A</v>
      </c>
      <c r="G80" s="255" t="e">
        <f t="shared" si="11"/>
        <v>#N/A</v>
      </c>
      <c r="H80" s="255" t="e">
        <f t="shared" si="12"/>
        <v>#DIV/0!</v>
      </c>
      <c r="I80" s="255" t="e">
        <f t="shared" si="13"/>
        <v>#DIV/0!</v>
      </c>
      <c r="J80" s="255" t="e">
        <f t="shared" si="14"/>
        <v>#DIV/0!</v>
      </c>
      <c r="K80" s="255" t="e">
        <f t="shared" si="15"/>
        <v>#DIV/0!</v>
      </c>
      <c r="L80" s="255" t="e">
        <f t="shared" si="16"/>
        <v>#DIV/0!</v>
      </c>
      <c r="M80" s="255" t="e">
        <f t="shared" si="17"/>
        <v>#N/A</v>
      </c>
    </row>
    <row r="81" spans="1:13" ht="13.5">
      <c r="A81" s="260"/>
      <c r="B81" s="261"/>
      <c r="C81" s="262"/>
      <c r="D81" s="172"/>
      <c r="E81" s="255" t="e">
        <f t="shared" si="9"/>
        <v>#DIV/0!</v>
      </c>
      <c r="F81" s="255" t="e">
        <f t="shared" si="10"/>
        <v>#N/A</v>
      </c>
      <c r="G81" s="255" t="e">
        <f t="shared" si="11"/>
        <v>#N/A</v>
      </c>
      <c r="H81" s="255" t="e">
        <f t="shared" si="12"/>
        <v>#DIV/0!</v>
      </c>
      <c r="I81" s="255" t="e">
        <f t="shared" si="13"/>
        <v>#DIV/0!</v>
      </c>
      <c r="J81" s="255" t="e">
        <f t="shared" si="14"/>
        <v>#DIV/0!</v>
      </c>
      <c r="K81" s="255" t="e">
        <f t="shared" si="15"/>
        <v>#DIV/0!</v>
      </c>
      <c r="L81" s="255" t="e">
        <f t="shared" si="16"/>
        <v>#DIV/0!</v>
      </c>
      <c r="M81" s="255" t="e">
        <f t="shared" si="17"/>
        <v>#DIV/0!</v>
      </c>
    </row>
  </sheetData>
  <conditionalFormatting sqref="F21:G81">
    <cfRule type="expression" dxfId="1" priority="1" stopIfTrue="1">
      <formula>ISNA(F21)</formula>
    </cfRule>
  </conditionalFormatting>
  <conditionalFormatting sqref="M21:M81">
    <cfRule type="expression" dxfId="0" priority="2" stopIfTrue="1">
      <formula>ISNA(M21)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1175c2-a5b3-47e1-98c9-7a3317704e81" xsi:nil="true"/>
    <lcf76f155ced4ddcb4097134ff3c332f xmlns="759e7982-0740-4d86-8252-404523261b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7175ADC10894A85B4494EE73D1C3A" ma:contentTypeVersion="12" ma:contentTypeDescription="Create a new document." ma:contentTypeScope="" ma:versionID="85aeca3528b51dbe0d7f9d25878b0963">
  <xsd:schema xmlns:xsd="http://www.w3.org/2001/XMLSchema" xmlns:xs="http://www.w3.org/2001/XMLSchema" xmlns:p="http://schemas.microsoft.com/office/2006/metadata/properties" xmlns:ns2="759e7982-0740-4d86-8252-404523261bb3" xmlns:ns3="951175c2-a5b3-47e1-98c9-7a3317704e81" targetNamespace="http://schemas.microsoft.com/office/2006/metadata/properties" ma:root="true" ma:fieldsID="cbe54dc9dc6f13ca5a764e1e9a521afa" ns2:_="" ns3:_="">
    <xsd:import namespace="759e7982-0740-4d86-8252-404523261bb3"/>
    <xsd:import namespace="951175c2-a5b3-47e1-98c9-7a3317704e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e7982-0740-4d86-8252-404523261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80af340-2d07-4523-819b-904da3d51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75c2-a5b3-47e1-98c9-7a3317704e8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93faec-f4f1-48b9-b0b9-df6d09c07cda}" ma:internalName="TaxCatchAll" ma:showField="CatchAllData" ma:web="951175c2-a5b3-47e1-98c9-7a3317704e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C56FF4-9D94-4AF0-B722-E31FAC5CB44D}">
  <ds:schemaRefs>
    <ds:schemaRef ds:uri="http://schemas.microsoft.com/office/2006/metadata/properties"/>
    <ds:schemaRef ds:uri="http://schemas.microsoft.com/office/infopath/2007/PartnerControls"/>
    <ds:schemaRef ds:uri="951175c2-a5b3-47e1-98c9-7a3317704e81"/>
    <ds:schemaRef ds:uri="759e7982-0740-4d86-8252-404523261bb3"/>
  </ds:schemaRefs>
</ds:datastoreItem>
</file>

<file path=customXml/itemProps2.xml><?xml version="1.0" encoding="utf-8"?>
<ds:datastoreItem xmlns:ds="http://schemas.openxmlformats.org/officeDocument/2006/customXml" ds:itemID="{B4744AF0-3FF7-4487-88A6-8207DFA899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88F0ED-6995-46E3-98F7-2B00D8A4A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9e7982-0740-4d86-8252-404523261bb3"/>
    <ds:schemaRef ds:uri="951175c2-a5b3-47e1-98c9-7a3317704e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3S</vt:lpstr>
      <vt:lpstr>Revenue Projection</vt:lpstr>
      <vt:lpstr>Data</vt:lpstr>
      <vt:lpstr>Guidance</vt:lpstr>
      <vt:lpstr>问题</vt:lpstr>
      <vt:lpstr>投资逻辑</vt:lpstr>
      <vt:lpstr>估值区间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 ZUNYU</dc:creator>
  <cp:keywords/>
  <dc:description/>
  <cp:lastModifiedBy>Alan Cao</cp:lastModifiedBy>
  <cp:revision/>
  <dcterms:created xsi:type="dcterms:W3CDTF">2024-08-03T13:26:30Z</dcterms:created>
  <dcterms:modified xsi:type="dcterms:W3CDTF">2026-10-27T04:48:18Z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0x010100C8A7175ADC10894A85B4494EE73D1C3A</vt:lpwstr>
  </property>
</Properties>
</file>